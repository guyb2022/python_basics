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rge\Desktop\python_projects\python_basics\excel_vba_python\"/>
    </mc:Choice>
  </mc:AlternateContent>
  <xr:revisionPtr revIDLastSave="0" documentId="13_ncr:1_{A7330374-4F30-4914-8A28-2A35DE48B463}" xr6:coauthVersionLast="47" xr6:coauthVersionMax="47" xr10:uidLastSave="{00000000-0000-0000-0000-000000000000}"/>
  <bookViews>
    <workbookView xWindow="-108" yWindow="-108" windowWidth="23256" windowHeight="12456" xr2:uid="{C9C2F4F7-5850-4B0A-9E2D-798F7B962C77}"/>
  </bookViews>
  <sheets>
    <sheet name="Sheet1" sheetId="1" r:id="rId1"/>
    <sheet name="Sheet2" sheetId="2" r:id="rId2"/>
    <sheet name="Sheet3" sheetId="3" r:id="rId3"/>
  </sheets>
  <functionGroups builtInGroupCount="19">
    <functionGroup name="xlwings"/>
  </functionGroups>
  <definedNames>
    <definedName name="_xlnm._FilterDatabase" localSheetId="2" hidden="1">Sheet3!$A$2:$G$2</definedName>
  </definedNames>
  <calcPr calcId="191029"/>
  <extLst>
    <ext xmlns:x14="http://schemas.microsoft.com/office/spreadsheetml/2009/9/main" uri="{8193D73E-4604-4355-AFF4-8A2333D13BE4}">
      <x14:definedNames>
        <x14:definedName name="bar_chart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arChar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char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corr_plot">
          <x14:argumentDescriptions count="1">
            <x14:argumentDescription index="0">Positional argument 1</x14:argumentDescription>
          </x14:argumentDescriptions>
        </x14:definedName>
        <x14:definedName name="CORREL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rrelation">
          <x14:argumentDescriptions count="1">
            <x14:argumentDescription index="0">Positional argument 1</x14:argumentDescription>
          </x14:argumentDescriptions>
        </x14:definedName>
        <x14:definedName name="CorrPlo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plotlibBarChar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redict_lr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predictLr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catterChar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2" l="1"/>
  <c r="D24" i="2"/>
  <c r="E24" i="2"/>
  <c r="F24" i="2"/>
  <c r="G24" i="2"/>
  <c r="B4" i="2"/>
  <c r="C4" i="2"/>
  <c r="D4" i="2"/>
  <c r="E4" i="2"/>
  <c r="F4" i="2"/>
  <c r="G4" i="2"/>
  <c r="B5" i="2"/>
  <c r="C5" i="2"/>
  <c r="D5" i="2"/>
  <c r="E5" i="2"/>
  <c r="F5" i="2"/>
  <c r="G5" i="2"/>
  <c r="B6" i="2"/>
  <c r="C6" i="2"/>
  <c r="D6" i="2"/>
  <c r="E6" i="2"/>
  <c r="F6" i="2"/>
  <c r="G6" i="2"/>
  <c r="B7" i="2"/>
  <c r="C7" i="2"/>
  <c r="D7" i="2"/>
  <c r="E7" i="2"/>
  <c r="F7" i="2"/>
  <c r="G7" i="2"/>
  <c r="B8" i="2"/>
  <c r="C8" i="2"/>
  <c r="D8" i="2"/>
  <c r="E8" i="2"/>
  <c r="F8" i="2"/>
  <c r="G8" i="2"/>
  <c r="B9" i="2"/>
  <c r="C9" i="2"/>
  <c r="D9" i="2"/>
  <c r="E9" i="2"/>
  <c r="F9" i="2"/>
  <c r="G9" i="2"/>
  <c r="B10" i="2"/>
  <c r="C10" i="2"/>
  <c r="D10" i="2"/>
  <c r="E10" i="2"/>
  <c r="F10" i="2"/>
  <c r="G10" i="2"/>
  <c r="B11" i="2"/>
  <c r="C11" i="2"/>
  <c r="D11" i="2"/>
  <c r="E11" i="2"/>
  <c r="F11" i="2"/>
  <c r="G11" i="2"/>
  <c r="B12" i="2"/>
  <c r="C12" i="2"/>
  <c r="D12" i="2"/>
  <c r="E12" i="2"/>
  <c r="F12" i="2"/>
  <c r="G12" i="2"/>
  <c r="B13" i="2"/>
  <c r="C13" i="2"/>
  <c r="D13" i="2"/>
  <c r="E13" i="2"/>
  <c r="F13" i="2"/>
  <c r="G13" i="2"/>
  <c r="B14" i="2"/>
  <c r="C14" i="2"/>
  <c r="D14" i="2"/>
  <c r="E14" i="2"/>
  <c r="F14" i="2"/>
  <c r="G14" i="2"/>
  <c r="B15" i="2"/>
  <c r="C15" i="2"/>
  <c r="D15" i="2"/>
  <c r="E15" i="2"/>
  <c r="F15" i="2"/>
  <c r="G15" i="2"/>
  <c r="B16" i="2"/>
  <c r="C16" i="2"/>
  <c r="D16" i="2"/>
  <c r="E16" i="2"/>
  <c r="F16" i="2"/>
  <c r="G16" i="2"/>
  <c r="B17" i="2"/>
  <c r="C17" i="2"/>
  <c r="D17" i="2"/>
  <c r="E17" i="2"/>
  <c r="F17" i="2"/>
  <c r="G17" i="2"/>
  <c r="B18" i="2"/>
  <c r="C18" i="2"/>
  <c r="D18" i="2"/>
  <c r="E18" i="2"/>
  <c r="F18" i="2"/>
  <c r="G18" i="2"/>
  <c r="B19" i="2"/>
  <c r="C19" i="2"/>
  <c r="D19" i="2"/>
  <c r="E19" i="2"/>
  <c r="F19" i="2"/>
  <c r="G19" i="2"/>
  <c r="B20" i="2"/>
  <c r="C20" i="2"/>
  <c r="D20" i="2"/>
  <c r="E20" i="2"/>
  <c r="F20" i="2"/>
  <c r="G20" i="2"/>
  <c r="B21" i="2"/>
  <c r="C21" i="2"/>
  <c r="D21" i="2"/>
  <c r="E21" i="2"/>
  <c r="F21" i="2"/>
  <c r="G21" i="2"/>
  <c r="C3" i="2"/>
  <c r="D3" i="2"/>
  <c r="E3" i="2"/>
  <c r="F3" i="2"/>
  <c r="G3" i="2"/>
  <c r="B24" i="2"/>
  <c r="B3" i="2"/>
  <c r="I20" i="3" a="1"/>
  <c r="P3" i="3" a="1"/>
  <c r="I3" i="3" a="1"/>
  <c r="I20" i="3" l="1"/>
  <c r="P3" i="3"/>
  <c r="I3" i="3"/>
  <c r="H26" i="2"/>
  <c r="H12" i="2"/>
  <c r="H6" i="2"/>
  <c r="H10" i="2"/>
  <c r="H14" i="2"/>
  <c r="H8" i="2"/>
  <c r="H16" i="2"/>
  <c r="H20" i="2"/>
  <c r="H4" i="2"/>
  <c r="H21" i="2"/>
  <c r="H17" i="2"/>
  <c r="H13" i="2"/>
  <c r="H9" i="2"/>
  <c r="H7" i="2"/>
  <c r="H18" i="2"/>
  <c r="H3" i="2"/>
  <c r="H19" i="2"/>
  <c r="H15" i="2"/>
  <c r="H11" i="2"/>
  <c r="H5" i="2"/>
  <c r="J5" i="2" a="1"/>
  <c r="J14" i="2" a="1"/>
  <c r="H24" i="2" a="1"/>
  <c r="J5" i="2" l="1"/>
  <c r="J14" i="2"/>
  <c r="H24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<sst xmlns="http://schemas.openxmlformats.org/spreadsheetml/2006/main" count="1005" uniqueCount="39">
  <si>
    <t>x1</t>
  </si>
  <si>
    <t>x2</t>
  </si>
  <si>
    <t>x3</t>
  </si>
  <si>
    <t>y_predict</t>
  </si>
  <si>
    <t>Calculation process:</t>
  </si>
  <si>
    <t>x_1</t>
  </si>
  <si>
    <t>x_2</t>
  </si>
  <si>
    <t>x_3</t>
  </si>
  <si>
    <t>y_actual</t>
  </si>
  <si>
    <t>x4</t>
  </si>
  <si>
    <t>x5</t>
  </si>
  <si>
    <t>x6</t>
  </si>
  <si>
    <t>x_4</t>
  </si>
  <si>
    <t>x_5</t>
  </si>
  <si>
    <t>x_6</t>
  </si>
  <si>
    <t>Lererage Pandas df</t>
  </si>
  <si>
    <t>total_bill</t>
  </si>
  <si>
    <t>tip</t>
  </si>
  <si>
    <t>sex</t>
  </si>
  <si>
    <t>smoker</t>
  </si>
  <si>
    <t>day</t>
  </si>
  <si>
    <t>time</t>
  </si>
  <si>
    <t>size</t>
  </si>
  <si>
    <t>Female</t>
  </si>
  <si>
    <t>No</t>
  </si>
  <si>
    <t>Sun</t>
  </si>
  <si>
    <t>Dinner</t>
  </si>
  <si>
    <t>Male</t>
  </si>
  <si>
    <t>Sat</t>
  </si>
  <si>
    <t>Yes</t>
  </si>
  <si>
    <t>Thur</t>
  </si>
  <si>
    <t>Lunch</t>
  </si>
  <si>
    <t>Fri</t>
  </si>
  <si>
    <t>Linear Regression on tests results</t>
  </si>
  <si>
    <t xml:space="preserve">y </t>
  </si>
  <si>
    <t>(CorrPlot(K6:P11,"J15"))</t>
  </si>
  <si>
    <t>(predictLr(B3:G21,H3:H21,B24:G24))</t>
  </si>
  <si>
    <t>Correlation</t>
  </si>
  <si>
    <t>correlation((A2:H21))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</si>
</sst>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 * #,##0_ ;_ * \-#,##0_ ;_ * &quot;-&quot;_ ;_ @_ "/>
    <numFmt numFmtId="43" formatCode="_ * #,##0.00_ ;_ * \-#,##0.00_ ;_ * &quot;-&quot;??_ ;_ @_ "/>
    <numFmt numFmtId="164" formatCode="_(&quot;$&quot;* #,##0_);_(&quot;$&quot;* \(#,##0\);_(&quot;$&quot;* &quot;-&quot;_);_(@_)"/>
    <numFmt numFmtId="165" formatCode="_(&quot;$&quot;* #,##0.00_);_(&quot;$&quot;* \(#,##0.00\);_(&quot;$&quot;* &quot;-&quot;??_);_(@_)"/>
  </numFmts>
  <fonts count="9" x14ac:knownFonts="1">
    <font>
      <sz val="11"/>
      <color theme="1"/>
      <name val="Calibri"/>
      <family val="2"/>
      <charset val="177"/>
      <scheme val="minor"/>
    </font>
    <font>
      <sz val="11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charset val="177"/>
      <scheme val="minor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indexed="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90276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rgb="FFB90276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rgb="FFB90276"/>
      </right>
      <top/>
      <bottom style="dotted">
        <color indexed="64"/>
      </bottom>
      <diagonal/>
    </border>
    <border>
      <left style="medium">
        <color rgb="FFB90276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rgb="FFB90276"/>
      </right>
      <top style="dotted">
        <color indexed="64"/>
      </top>
      <bottom style="dotted">
        <color indexed="64"/>
      </bottom>
      <diagonal/>
    </border>
    <border>
      <left style="medium">
        <color rgb="FFB90276"/>
      </left>
      <right style="dotted">
        <color indexed="64"/>
      </right>
      <top style="dotted">
        <color indexed="64"/>
      </top>
      <bottom style="medium">
        <color rgb="FFB90276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rgb="FFB90276"/>
      </bottom>
      <diagonal/>
    </border>
    <border>
      <left style="dotted">
        <color indexed="64"/>
      </left>
      <right style="medium">
        <color rgb="FFB90276"/>
      </right>
      <top style="dotted">
        <color indexed="64"/>
      </top>
      <bottom style="medium">
        <color rgb="FFB90276"/>
      </bottom>
      <diagonal/>
    </border>
    <border>
      <left style="medium">
        <color rgb="FFB90276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B90276"/>
      </right>
      <top style="medium">
        <color rgb="FFFFFFFF"/>
      </top>
      <bottom style="medium">
        <color rgb="FFFFFFFF"/>
      </bottom>
      <diagonal/>
    </border>
  </borders>
  <cellStyleXfs count="9">
    <xf numFmtId="0" fontId="0" fillId="0" borderId="0"/>
    <xf numFmtId="0" fontId="6" fillId="0" borderId="0"/>
    <xf numFmtId="9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28">
    <xf numFmtId="0" fontId="0" fillId="0" borderId="0" xfId="0"/>
    <xf numFmtId="0" fontId="3" fillId="0" borderId="1" xfId="0" applyFont="1" applyBorder="1" applyAlignment="1">
      <alignment horizontal="center"/>
    </xf>
    <xf numFmtId="0" fontId="0" fillId="0" borderId="1" xfId="0" applyBorder="1"/>
    <xf numFmtId="0" fontId="0" fillId="3" borderId="1" xfId="0" applyFill="1" applyBorder="1"/>
    <xf numFmtId="0" fontId="5" fillId="0" borderId="0" xfId="0" applyFont="1"/>
    <xf numFmtId="0" fontId="8" fillId="4" borderId="11" xfId="1" applyFont="1" applyFill="1" applyBorder="1" applyAlignment="1">
      <alignment horizontal="center" vertical="center"/>
    </xf>
    <xf numFmtId="0" fontId="8" fillId="4" borderId="12" xfId="1" applyFont="1" applyFill="1" applyBorder="1" applyAlignment="1">
      <alignment horizontal="center" vertical="center"/>
    </xf>
    <xf numFmtId="0" fontId="8" fillId="4" borderId="13" xfId="1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6" fillId="0" borderId="3" xfId="1" applyBorder="1"/>
    <xf numFmtId="0" fontId="6" fillId="0" borderId="2" xfId="1" applyBorder="1"/>
    <xf numFmtId="0" fontId="6" fillId="0" borderId="4" xfId="1" applyBorder="1"/>
    <xf numFmtId="0" fontId="6" fillId="0" borderId="5" xfId="1" applyBorder="1"/>
    <xf numFmtId="0" fontId="6" fillId="0" borderId="6" xfId="1" applyBorder="1"/>
    <xf numFmtId="0" fontId="6" fillId="0" borderId="7" xfId="1" applyBorder="1"/>
    <xf numFmtId="0" fontId="6" fillId="0" borderId="8" xfId="1" applyBorder="1"/>
    <xf numFmtId="0" fontId="6" fillId="0" borderId="9" xfId="1" applyBorder="1"/>
    <xf numFmtId="0" fontId="6" fillId="0" borderId="10" xfId="1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4" fillId="0" borderId="0" xfId="0" applyFont="1" applyAlignment="1">
      <alignment horizontal="center"/>
    </xf>
    <xf numFmtId="0" fontId="6" fillId="0" borderId="0" xfId="1" applyAlignment="1">
      <alignment horizontal="left"/>
    </xf>
    <xf numFmtId="0" fontId="0" fillId="0" borderId="0" xfId="0" applyFill="1"/>
    <xf numFmtId="0" fontId="2" fillId="0" borderId="0" xfId="0" applyFont="1" applyFill="1"/>
    <xf numFmtId="0" fontId="3" fillId="0" borderId="0" xfId="0" applyFont="1" applyFill="1"/>
    <xf numFmtId="0" fontId="3" fillId="0" borderId="0" xfId="0" applyFont="1" applyFill="1" applyAlignment="1">
      <alignment horizontal="center" vertical="center"/>
    </xf>
  </cellXfs>
  <cellStyles count="9">
    <cellStyle name="Comma [0] 2" xfId="6" xr:uid="{75002A13-7594-491E-867B-091299FDB3A4}"/>
    <cellStyle name="Comma 2" xfId="5" xr:uid="{C5A8D37A-DF04-4EF7-9A69-184B257F51D2}"/>
    <cellStyle name="Comma 3" xfId="8" xr:uid="{7B5D85F3-7BE4-454E-905D-81B99520DD30}"/>
    <cellStyle name="Currency [0] 2" xfId="4" xr:uid="{0E64B564-1B38-4083-BD93-9A274EFC3A90}"/>
    <cellStyle name="Currency 2" xfId="3" xr:uid="{4F9E9118-6D90-45AE-9C56-E8644C264FF5}"/>
    <cellStyle name="Currency 3" xfId="7" xr:uid="{0778ADE8-5623-457C-AF7C-B09A15E8B238}"/>
    <cellStyle name="Normal" xfId="0" builtinId="0"/>
    <cellStyle name="Normal 2" xfId="1" xr:uid="{70EBC3E8-7A10-402C-941A-00A030E43852}"/>
    <cellStyle name="Percent 2" xfId="2" xr:uid="{17995701-6221-4CA4-8D86-E26BAB97867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422031</xdr:colOff>
          <xdr:row>0</xdr:row>
          <xdr:rowOff>0</xdr:rowOff>
        </xdr:from>
        <xdr:to>
          <xdr:col>3</xdr:col>
          <xdr:colOff>259080</xdr:colOff>
          <xdr:row>3</xdr:row>
          <xdr:rowOff>11723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Running Macro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With Python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1940169</xdr:colOff>
          <xdr:row>8</xdr:row>
          <xdr:rowOff>158261</xdr:rowOff>
        </xdr:from>
        <xdr:to>
          <xdr:col>4</xdr:col>
          <xdr:colOff>240323</xdr:colOff>
          <xdr:row>9</xdr:row>
          <xdr:rowOff>164126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Results printed upon completion of all tests completed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427892</xdr:colOff>
          <xdr:row>3</xdr:row>
          <xdr:rowOff>177604</xdr:rowOff>
        </xdr:from>
        <xdr:to>
          <xdr:col>3</xdr:col>
          <xdr:colOff>275493</xdr:colOff>
          <xdr:row>5</xdr:row>
          <xdr:rowOff>169984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Tuggle Bold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515816</xdr:colOff>
          <xdr:row>11</xdr:row>
          <xdr:rowOff>175846</xdr:rowOff>
        </xdr:from>
        <xdr:to>
          <xdr:col>3</xdr:col>
          <xdr:colOff>76200</xdr:colOff>
          <xdr:row>13</xdr:row>
          <xdr:rowOff>5862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1950719</xdr:colOff>
          <xdr:row>10</xdr:row>
          <xdr:rowOff>21102</xdr:rowOff>
        </xdr:from>
        <xdr:to>
          <xdr:col>4</xdr:col>
          <xdr:colOff>246184</xdr:colOff>
          <xdr:row>11</xdr:row>
          <xdr:rowOff>28722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Results printed upon completion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14</xdr:row>
          <xdr:rowOff>15240</xdr:rowOff>
        </xdr:from>
        <xdr:to>
          <xdr:col>3</xdr:col>
          <xdr:colOff>60960</xdr:colOff>
          <xdr:row>15</xdr:row>
          <xdr:rowOff>45720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169184</xdr:colOff>
      <xdr:row>1</xdr:row>
      <xdr:rowOff>171450</xdr:rowOff>
    </xdr:from>
    <xdr:ext cx="281192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5056494" y="4395295"/>
              <a:ext cx="281192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1100" b="0" i="1">
                      <a:latin typeface="Cambria Math" panose="02040503050406030204" pitchFamily="18" charset="0"/>
                    </a:rPr>
                    <m:t>𝑦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𝑥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1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+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2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∗</m:t>
                  </m:r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𝑥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+</m:t>
                  </m:r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3</m:t>
                  </m:r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∗</m:t>
                  </m:r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𝑥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3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4</m:t>
                  </m:r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∗</m:t>
                  </m:r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𝑥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4</m:t>
                      </m:r>
                    </m:sub>
                  </m:sSub>
                </m:oMath>
              </a14:m>
              <a:r>
                <a:rPr lang="en-US" sz="1100"/>
                <a:t> + 5</a:t>
              </a:r>
              <a14:m>
                <m:oMath xmlns:m="http://schemas.openxmlformats.org/officeDocument/2006/math"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∗</m:t>
                  </m:r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𝑥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5</m:t>
                      </m:r>
                    </m:sub>
                  </m:sSub>
                </m:oMath>
              </a14:m>
              <a:r>
                <a:rPr lang="en-US" sz="1100"/>
                <a:t>+</a:t>
              </a:r>
              <a14:m>
                <m:oMath xmlns:m="http://schemas.openxmlformats.org/officeDocument/2006/math">
                  <m:r>
                    <a:rPr lang="en-US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6</m:t>
                  </m:r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∗</m:t>
                  </m:r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𝑥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6</m:t>
                      </m:r>
                    </m:sub>
                  </m:sSub>
                </m:oMath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5056494" y="4395295"/>
              <a:ext cx="281192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𝑦=𝑥_1+2∗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𝑥_2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+3∗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𝑥_3+4∗𝑥_4</a:t>
              </a:r>
              <a:r>
                <a:rPr lang="en-US" sz="1100"/>
                <a:t> + 5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∗𝑥_5</a:t>
              </a:r>
              <a:r>
                <a:rPr lang="en-US" sz="1100"/>
                <a:t>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6∗𝑥_6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9</xdr:col>
      <xdr:colOff>2241</xdr:colOff>
      <xdr:row>14</xdr:row>
      <xdr:rowOff>44824</xdr:rowOff>
    </xdr:from>
    <xdr:to>
      <xdr:col>15</xdr:col>
      <xdr:colOff>38100</xdr:colOff>
      <xdr:row>28</xdr:row>
      <xdr:rowOff>74706</xdr:rowOff>
    </xdr:to>
    <xdr:pic>
      <xdr:nvPicPr>
        <xdr:cNvPr id="1223" name="corr plot">
          <a:extLst>
            <a:ext uri="{FF2B5EF4-FFF2-40B4-BE49-F238E27FC236}">
              <a16:creationId xmlns:a16="http://schemas.microsoft.com/office/drawing/2014/main" id="{5C1C1C3E-6D2E-8652-2F1A-17199B04CA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1700" y="2743200"/>
          <a:ext cx="3810000" cy="254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20</xdr:row>
      <xdr:rowOff>0</xdr:rowOff>
    </xdr:from>
    <xdr:to>
      <xdr:col>14</xdr:col>
      <xdr:colOff>152400</xdr:colOff>
      <xdr:row>32</xdr:row>
      <xdr:rowOff>162560</xdr:rowOff>
    </xdr:to>
    <xdr:pic>
      <xdr:nvPicPr>
        <xdr:cNvPr id="110" name="scatter total_bill tip">
          <a:extLst>
            <a:ext uri="{FF2B5EF4-FFF2-40B4-BE49-F238E27FC236}">
              <a16:creationId xmlns:a16="http://schemas.microsoft.com/office/drawing/2014/main" id="{4DDFCAF4-8469-50BE-4584-0B4B3543A3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6800" y="4145280"/>
          <a:ext cx="3810000" cy="254000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</xdr:row>
      <xdr:rowOff>0</xdr:rowOff>
    </xdr:from>
    <xdr:to>
      <xdr:col>21</xdr:col>
      <xdr:colOff>152400</xdr:colOff>
      <xdr:row>15</xdr:row>
      <xdr:rowOff>162560</xdr:rowOff>
    </xdr:to>
    <xdr:pic>
      <xdr:nvPicPr>
        <xdr:cNvPr id="112" name="bar total_bill tip">
          <a:extLst>
            <a:ext uri="{FF2B5EF4-FFF2-40B4-BE49-F238E27FC236}">
              <a16:creationId xmlns:a16="http://schemas.microsoft.com/office/drawing/2014/main" id="{E39929E7-BE73-400C-BB68-4F4075694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00" y="777240"/>
          <a:ext cx="3810000" cy="254000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</xdr:row>
      <xdr:rowOff>0</xdr:rowOff>
    </xdr:from>
    <xdr:to>
      <xdr:col>14</xdr:col>
      <xdr:colOff>152400</xdr:colOff>
      <xdr:row>15</xdr:row>
      <xdr:rowOff>162560</xdr:rowOff>
    </xdr:to>
    <xdr:pic>
      <xdr:nvPicPr>
        <xdr:cNvPr id="114" name="bar day total_bill">
          <a:extLst>
            <a:ext uri="{FF2B5EF4-FFF2-40B4-BE49-F238E27FC236}">
              <a16:creationId xmlns:a16="http://schemas.microsoft.com/office/drawing/2014/main" id="{C5108E3C-71C0-B5C2-8668-0BE7C58643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6800" y="777240"/>
          <a:ext cx="381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200F6-371C-44AA-9EF2-403512C5F470}">
  <sheetPr codeName="Sheet1"/>
  <dimension ref="A1:J15"/>
  <sheetViews>
    <sheetView tabSelected="1" zoomScale="130" zoomScaleNormal="130" workbookViewId="0">
      <selection activeCell="C12" sqref="C12"/>
    </sheetView>
  </sheetViews>
  <sheetFormatPr defaultRowHeight="14.4" x14ac:dyDescent="0.3"/>
  <cols>
    <col min="1" max="1" width="33.21875" bestFit="1" customWidth="1"/>
    <col min="4" max="4" width="12.33203125" customWidth="1"/>
    <col min="5" max="5" width="6.5546875" customWidth="1"/>
    <col min="12" max="12" width="40.109375" bestFit="1" customWidth="1"/>
  </cols>
  <sheetData>
    <row r="1" spans="1:10" x14ac:dyDescent="0.3">
      <c r="A1" s="24"/>
    </row>
    <row r="2" spans="1:10" x14ac:dyDescent="0.3">
      <c r="A2" s="24"/>
    </row>
    <row r="3" spans="1:10" x14ac:dyDescent="0.3">
      <c r="A3" s="24"/>
    </row>
    <row r="4" spans="1:10" x14ac:dyDescent="0.3">
      <c r="A4" s="24"/>
    </row>
    <row r="5" spans="1:10" x14ac:dyDescent="0.3">
      <c r="A5" s="25"/>
    </row>
    <row r="6" spans="1:10" x14ac:dyDescent="0.3">
      <c r="A6" s="26"/>
    </row>
    <row r="7" spans="1:10" x14ac:dyDescent="0.3">
      <c r="A7" s="24"/>
    </row>
    <row r="8" spans="1:10" x14ac:dyDescent="0.3">
      <c r="A8" s="24"/>
    </row>
    <row r="9" spans="1:10" x14ac:dyDescent="0.3">
      <c r="A9" s="24"/>
      <c r="F9" s="27"/>
      <c r="G9" s="27"/>
      <c r="H9" s="27"/>
      <c r="I9" s="27"/>
      <c r="J9" s="27"/>
    </row>
    <row r="10" spans="1:10" x14ac:dyDescent="0.3">
      <c r="A10" s="24"/>
      <c r="F10" s="24"/>
      <c r="G10" s="24"/>
      <c r="H10" s="24"/>
      <c r="I10" s="24"/>
      <c r="J10" s="24"/>
    </row>
    <row r="11" spans="1:10" x14ac:dyDescent="0.3">
      <c r="A11" s="24"/>
      <c r="F11" s="24"/>
      <c r="G11" s="24"/>
      <c r="H11" s="24"/>
      <c r="I11" s="24"/>
      <c r="J11" s="24"/>
    </row>
    <row r="12" spans="1:10" x14ac:dyDescent="0.3">
      <c r="A12" s="24"/>
    </row>
    <row r="13" spans="1:10" x14ac:dyDescent="0.3">
      <c r="A13" s="24"/>
    </row>
    <row r="14" spans="1:10" x14ac:dyDescent="0.3">
      <c r="A14" s="24"/>
    </row>
    <row r="15" spans="1:10" x14ac:dyDescent="0.3">
      <c r="A15" s="2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ythonCode">
                <anchor moveWithCells="1" sizeWithCells="1">
                  <from>
                    <xdr:col>1</xdr:col>
                    <xdr:colOff>419100</xdr:colOff>
                    <xdr:row>0</xdr:row>
                    <xdr:rowOff>0</xdr:rowOff>
                  </from>
                  <to>
                    <xdr:col>3</xdr:col>
                    <xdr:colOff>259080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intThreadsAfterAllCompleted">
                <anchor moveWithCells="1" sizeWithCells="1">
                  <from>
                    <xdr:col>0</xdr:col>
                    <xdr:colOff>1943100</xdr:colOff>
                    <xdr:row>8</xdr:row>
                    <xdr:rowOff>160020</xdr:rowOff>
                  </from>
                  <to>
                    <xdr:col>4</xdr:col>
                    <xdr:colOff>243840</xdr:colOff>
                    <xdr:row>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oggleBold">
                <anchor moveWithCells="1" sizeWithCells="1">
                  <from>
                    <xdr:col>1</xdr:col>
                    <xdr:colOff>426720</xdr:colOff>
                    <xdr:row>3</xdr:row>
                    <xdr:rowOff>175260</xdr:rowOff>
                  </from>
                  <to>
                    <xdr:col>3</xdr:col>
                    <xdr:colOff>274320</xdr:colOff>
                    <xdr:row>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nContent">
                <anchor moveWithCells="1" sizeWithCells="1">
                  <from>
                    <xdr:col>1</xdr:col>
                    <xdr:colOff>518160</xdr:colOff>
                    <xdr:row>11</xdr:row>
                    <xdr:rowOff>175260</xdr:rowOff>
                  </from>
                  <to>
                    <xdr:col>3</xdr:col>
                    <xdr:colOff>76200</xdr:colOff>
                    <xdr:row>13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printThreadsAsCompleted">
                <anchor moveWithCells="1" sizeWithCells="1">
                  <from>
                    <xdr:col>0</xdr:col>
                    <xdr:colOff>1950720</xdr:colOff>
                    <xdr:row>10</xdr:row>
                    <xdr:rowOff>22860</xdr:rowOff>
                  </from>
                  <to>
                    <xdr:col>4</xdr:col>
                    <xdr:colOff>243840</xdr:colOff>
                    <xdr:row>11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cleanSheet">
                <anchor moveWithCells="1" sizeWithCells="1">
                  <from>
                    <xdr:col>1</xdr:col>
                    <xdr:colOff>533400</xdr:colOff>
                    <xdr:row>14</xdr:row>
                    <xdr:rowOff>15240</xdr:rowOff>
                  </from>
                  <to>
                    <xdr:col>3</xdr:col>
                    <xdr:colOff>60960</xdr:colOff>
                    <xdr:row>15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1B585-93DA-4F2D-A74E-15198211B007}">
  <sheetPr codeName="Sheet2"/>
  <dimension ref="A1:Q26"/>
  <sheetViews>
    <sheetView zoomScale="85" zoomScaleNormal="85" workbookViewId="0">
      <selection activeCell="R24" sqref="R24"/>
    </sheetView>
  </sheetViews>
  <sheetFormatPr defaultRowHeight="14.4" x14ac:dyDescent="0.3"/>
  <cols>
    <col min="8" max="8" width="13.88671875" customWidth="1"/>
    <col min="9" max="9" width="11.109375" bestFit="1" customWidth="1"/>
    <col min="10" max="10" width="10.5546875" bestFit="1" customWidth="1"/>
    <col min="16" max="16" width="8" bestFit="1" customWidth="1"/>
    <col min="23" max="23" width="6.109375" bestFit="1" customWidth="1"/>
  </cols>
  <sheetData>
    <row r="1" spans="1:17" ht="28.8" x14ac:dyDescent="0.55000000000000004">
      <c r="C1" s="22" t="s">
        <v>33</v>
      </c>
      <c r="D1" s="22"/>
      <c r="E1" s="22"/>
      <c r="F1" s="22"/>
      <c r="G1" s="22"/>
      <c r="H1" s="22"/>
      <c r="I1" s="22"/>
      <c r="J1" s="22"/>
      <c r="K1" s="22"/>
      <c r="L1" s="22"/>
      <c r="M1" s="8"/>
      <c r="N1" s="8"/>
      <c r="O1" s="8"/>
    </row>
    <row r="2" spans="1:17" x14ac:dyDescent="0.3">
      <c r="B2" s="1" t="s">
        <v>0</v>
      </c>
      <c r="C2" s="1" t="s">
        <v>1</v>
      </c>
      <c r="D2" s="1" t="s">
        <v>2</v>
      </c>
      <c r="E2" s="1" t="s">
        <v>9</v>
      </c>
      <c r="F2" s="1" t="s">
        <v>10</v>
      </c>
      <c r="G2" s="1" t="s">
        <v>11</v>
      </c>
      <c r="H2" s="1" t="s">
        <v>34</v>
      </c>
      <c r="J2" s="21" t="s">
        <v>4</v>
      </c>
      <c r="K2" s="21"/>
      <c r="L2" s="21"/>
      <c r="M2" s="21"/>
      <c r="N2" s="21"/>
    </row>
    <row r="3" spans="1:17" x14ac:dyDescent="0.3">
      <c r="A3">
        <v>1</v>
      </c>
      <c r="B3" s="19">
        <f ca="1">RANDBETWEEN(1,1000)</f>
        <v>593</v>
      </c>
      <c r="C3" s="19">
        <f t="shared" ref="C3:G18" ca="1" si="0">RANDBETWEEN(1,1000)</f>
        <v>178</v>
      </c>
      <c r="D3" s="19">
        <f t="shared" ca="1" si="0"/>
        <v>745</v>
      </c>
      <c r="E3" s="19">
        <f t="shared" ca="1" si="0"/>
        <v>95</v>
      </c>
      <c r="F3" s="19">
        <f t="shared" ca="1" si="0"/>
        <v>428</v>
      </c>
      <c r="G3" s="19">
        <f t="shared" ca="1" si="0"/>
        <v>883</v>
      </c>
      <c r="H3" s="18">
        <f ca="1">B3+2*C3+3*D3+4*E3+5*F3+6*G3</f>
        <v>11002</v>
      </c>
      <c r="J3" s="20"/>
      <c r="K3" s="20"/>
      <c r="L3" s="20"/>
      <c r="M3" s="20"/>
      <c r="N3" s="20"/>
    </row>
    <row r="4" spans="1:17" x14ac:dyDescent="0.3">
      <c r="A4">
        <v>2</v>
      </c>
      <c r="B4" s="19">
        <f t="shared" ref="B4:G21" ca="1" si="1">RANDBETWEEN(1,1000)</f>
        <v>952</v>
      </c>
      <c r="C4" s="19">
        <f t="shared" ca="1" si="0"/>
        <v>530</v>
      </c>
      <c r="D4" s="19">
        <f t="shared" ca="1" si="0"/>
        <v>10</v>
      </c>
      <c r="E4" s="19">
        <f t="shared" ca="1" si="0"/>
        <v>833</v>
      </c>
      <c r="F4" s="19">
        <f t="shared" ca="1" si="0"/>
        <v>19</v>
      </c>
      <c r="G4" s="19">
        <f t="shared" ca="1" si="0"/>
        <v>930</v>
      </c>
      <c r="H4" s="18">
        <f t="shared" ref="H4:H21" ca="1" si="2">B4+2*C4+3*D4+4*E4+5*F4+6*G4</f>
        <v>11049</v>
      </c>
      <c r="J4" s="4" t="s">
        <v>37</v>
      </c>
      <c r="K4" t="s">
        <v>38</v>
      </c>
    </row>
    <row r="5" spans="1:17" x14ac:dyDescent="0.3">
      <c r="A5">
        <v>3</v>
      </c>
      <c r="B5" s="19">
        <f t="shared" ca="1" si="1"/>
        <v>379</v>
      </c>
      <c r="C5" s="19">
        <f t="shared" ca="1" si="0"/>
        <v>379</v>
      </c>
      <c r="D5" s="19">
        <f t="shared" ca="1" si="0"/>
        <v>550</v>
      </c>
      <c r="E5" s="19">
        <f t="shared" ca="1" si="0"/>
        <v>346</v>
      </c>
      <c r="F5" s="19">
        <f t="shared" ca="1" si="0"/>
        <v>274</v>
      </c>
      <c r="G5" s="19">
        <f t="shared" ca="1" si="0"/>
        <v>662</v>
      </c>
      <c r="H5" s="18">
        <f t="shared" ca="1" si="2"/>
        <v>9513</v>
      </c>
      <c r="J5" t="str" cm="1">
        <f t="array" aca="1" ref="J5:Q12" ca="1">correlation((A2:H21))</f>
        <v/>
      </c>
      <c r="K5" t="str">
        <f ca="1"/>
        <v>x1</v>
      </c>
      <c r="L5" t="str">
        <f ca="1"/>
        <v>x2</v>
      </c>
      <c r="M5" t="str">
        <f ca="1"/>
        <v>x3</v>
      </c>
      <c r="N5" t="str">
        <f ca="1"/>
        <v>x4</v>
      </c>
      <c r="O5" t="str">
        <f ca="1"/>
        <v>x5</v>
      </c>
      <c r="P5" t="str">
        <f ca="1"/>
        <v>x6</v>
      </c>
      <c r="Q5" t="str">
        <f ca="1"/>
        <v xml:space="preserve">y </v>
      </c>
    </row>
    <row r="6" spans="1:17" x14ac:dyDescent="0.3">
      <c r="A6">
        <v>4</v>
      </c>
      <c r="B6" s="19">
        <f t="shared" ca="1" si="1"/>
        <v>122</v>
      </c>
      <c r="C6" s="19">
        <f t="shared" ca="1" si="0"/>
        <v>72</v>
      </c>
      <c r="D6" s="19">
        <f t="shared" ca="1" si="0"/>
        <v>687</v>
      </c>
      <c r="E6" s="19">
        <f t="shared" ca="1" si="0"/>
        <v>82</v>
      </c>
      <c r="F6" s="19">
        <f t="shared" ca="1" si="0"/>
        <v>343</v>
      </c>
      <c r="G6" s="19">
        <f t="shared" ca="1" si="0"/>
        <v>692</v>
      </c>
      <c r="H6" s="18">
        <f t="shared" ca="1" si="2"/>
        <v>8522</v>
      </c>
      <c r="J6" t="str">
        <f ca="1"/>
        <v>x1</v>
      </c>
      <c r="K6">
        <f ca="1"/>
        <v>1</v>
      </c>
      <c r="L6">
        <f ca="1"/>
        <v>0.31092452102263468</v>
      </c>
      <c r="M6">
        <f ca="1"/>
        <v>-0.41488179463692804</v>
      </c>
      <c r="N6">
        <f ca="1"/>
        <v>6.4219568257947238E-2</v>
      </c>
      <c r="O6">
        <f ca="1"/>
        <v>-0.17199024685994688</v>
      </c>
      <c r="P6">
        <f ca="1"/>
        <v>-8.8204424770958093E-2</v>
      </c>
      <c r="Q6">
        <f ca="1"/>
        <v>-6.6889088768540231E-2</v>
      </c>
    </row>
    <row r="7" spans="1:17" x14ac:dyDescent="0.3">
      <c r="A7">
        <v>5</v>
      </c>
      <c r="B7" s="19">
        <f t="shared" ca="1" si="1"/>
        <v>786</v>
      </c>
      <c r="C7" s="19">
        <f t="shared" ca="1" si="0"/>
        <v>674</v>
      </c>
      <c r="D7" s="19">
        <f t="shared" ca="1" si="0"/>
        <v>191</v>
      </c>
      <c r="E7" s="19">
        <f t="shared" ca="1" si="0"/>
        <v>84</v>
      </c>
      <c r="F7" s="19">
        <f t="shared" ca="1" si="0"/>
        <v>245</v>
      </c>
      <c r="G7" s="19">
        <f t="shared" ca="1" si="0"/>
        <v>520</v>
      </c>
      <c r="H7" s="18">
        <f t="shared" ca="1" si="2"/>
        <v>7388</v>
      </c>
      <c r="J7" t="str">
        <f ca="1"/>
        <v>x2</v>
      </c>
      <c r="K7">
        <f ca="1"/>
        <v>0.31092452102263468</v>
      </c>
      <c r="L7">
        <f ca="1"/>
        <v>1</v>
      </c>
      <c r="M7">
        <f ca="1"/>
        <v>1.6522729358905173E-2</v>
      </c>
      <c r="N7">
        <f ca="1"/>
        <v>9.3979013757695875E-3</v>
      </c>
      <c r="O7">
        <f ca="1"/>
        <v>-6.3450836949210193E-2</v>
      </c>
      <c r="P7">
        <f ca="1"/>
        <v>-0.36167987730754103</v>
      </c>
      <c r="Q7">
        <f ca="1"/>
        <v>2.4237129951937733E-2</v>
      </c>
    </row>
    <row r="8" spans="1:17" x14ac:dyDescent="0.3">
      <c r="A8">
        <v>6</v>
      </c>
      <c r="B8" s="19">
        <f t="shared" ca="1" si="1"/>
        <v>916</v>
      </c>
      <c r="C8" s="19">
        <f t="shared" ca="1" si="0"/>
        <v>900</v>
      </c>
      <c r="D8" s="19">
        <f t="shared" ca="1" si="0"/>
        <v>97</v>
      </c>
      <c r="E8" s="19">
        <f t="shared" ca="1" si="0"/>
        <v>178</v>
      </c>
      <c r="F8" s="19">
        <f t="shared" ca="1" si="0"/>
        <v>995</v>
      </c>
      <c r="G8" s="19">
        <f t="shared" ca="1" si="0"/>
        <v>550</v>
      </c>
      <c r="H8" s="18">
        <f t="shared" ca="1" si="2"/>
        <v>11994</v>
      </c>
      <c r="J8" t="str">
        <f ca="1"/>
        <v>x3</v>
      </c>
      <c r="K8">
        <f ca="1"/>
        <v>-0.41488179463692804</v>
      </c>
      <c r="L8">
        <f ca="1"/>
        <v>1.6522729358905173E-2</v>
      </c>
      <c r="M8">
        <f ca="1"/>
        <v>1</v>
      </c>
      <c r="N8">
        <f ca="1"/>
        <v>-0.11513362327529142</v>
      </c>
      <c r="O8">
        <f ca="1"/>
        <v>-3.8916690816918967E-2</v>
      </c>
      <c r="P8">
        <f ca="1"/>
        <v>-0.17809467990903041</v>
      </c>
      <c r="Q8">
        <f ca="1"/>
        <v>9.4345599069774952E-2</v>
      </c>
    </row>
    <row r="9" spans="1:17" x14ac:dyDescent="0.3">
      <c r="A9">
        <v>7</v>
      </c>
      <c r="B9" s="19">
        <f t="shared" ca="1" si="1"/>
        <v>837</v>
      </c>
      <c r="C9" s="19">
        <f t="shared" ca="1" si="0"/>
        <v>853</v>
      </c>
      <c r="D9" s="19">
        <f t="shared" ca="1" si="0"/>
        <v>553</v>
      </c>
      <c r="E9" s="19">
        <f t="shared" ca="1" si="0"/>
        <v>177</v>
      </c>
      <c r="F9" s="19">
        <f t="shared" ca="1" si="0"/>
        <v>8</v>
      </c>
      <c r="G9" s="19">
        <f t="shared" ca="1" si="0"/>
        <v>92</v>
      </c>
      <c r="H9" s="18">
        <f t="shared" ca="1" si="2"/>
        <v>5502</v>
      </c>
      <c r="J9" t="str">
        <f ca="1"/>
        <v>x4</v>
      </c>
      <c r="K9">
        <f ca="1"/>
        <v>6.4219568257947238E-2</v>
      </c>
      <c r="L9">
        <f ca="1"/>
        <v>9.3979013757695875E-3</v>
      </c>
      <c r="M9">
        <f ca="1"/>
        <v>-0.11513362327529142</v>
      </c>
      <c r="N9">
        <f ca="1"/>
        <v>1</v>
      </c>
      <c r="O9">
        <f ca="1"/>
        <v>3.916644090707188E-2</v>
      </c>
      <c r="P9">
        <f ca="1"/>
        <v>-0.12108286205651923</v>
      </c>
      <c r="Q9">
        <f ca="1"/>
        <v>0.43737500729395346</v>
      </c>
    </row>
    <row r="10" spans="1:17" x14ac:dyDescent="0.3">
      <c r="A10">
        <v>8</v>
      </c>
      <c r="B10" s="19">
        <f t="shared" ca="1" si="1"/>
        <v>82</v>
      </c>
      <c r="C10" s="19">
        <f t="shared" ca="1" si="0"/>
        <v>884</v>
      </c>
      <c r="D10" s="19">
        <f t="shared" ca="1" si="0"/>
        <v>817</v>
      </c>
      <c r="E10" s="19">
        <f t="shared" ca="1" si="0"/>
        <v>365</v>
      </c>
      <c r="F10" s="19">
        <f t="shared" ca="1" si="0"/>
        <v>523</v>
      </c>
      <c r="G10" s="19">
        <f t="shared" ca="1" si="0"/>
        <v>66</v>
      </c>
      <c r="H10" s="18">
        <f t="shared" ca="1" si="2"/>
        <v>8772</v>
      </c>
      <c r="J10" t="str">
        <f ca="1"/>
        <v>x5</v>
      </c>
      <c r="K10">
        <f ca="1"/>
        <v>-0.17199024685994688</v>
      </c>
      <c r="L10">
        <f ca="1"/>
        <v>-6.3450836949210193E-2</v>
      </c>
      <c r="M10">
        <f ca="1"/>
        <v>-3.8916690816918967E-2</v>
      </c>
      <c r="N10">
        <f ca="1"/>
        <v>3.916644090707188E-2</v>
      </c>
      <c r="O10">
        <f ca="1"/>
        <v>1</v>
      </c>
      <c r="P10">
        <f ca="1"/>
        <v>0.20298827941613995</v>
      </c>
      <c r="Q10">
        <f ca="1"/>
        <v>0.63308147309892282</v>
      </c>
    </row>
    <row r="11" spans="1:17" x14ac:dyDescent="0.3">
      <c r="A11">
        <v>9</v>
      </c>
      <c r="B11" s="19">
        <f t="shared" ca="1" si="1"/>
        <v>911</v>
      </c>
      <c r="C11" s="19">
        <f t="shared" ca="1" si="0"/>
        <v>928</v>
      </c>
      <c r="D11" s="19">
        <f t="shared" ca="1" si="0"/>
        <v>185</v>
      </c>
      <c r="E11" s="19">
        <f t="shared" ca="1" si="0"/>
        <v>91</v>
      </c>
      <c r="F11" s="19">
        <f t="shared" ca="1" si="0"/>
        <v>420</v>
      </c>
      <c r="G11" s="19">
        <f t="shared" ca="1" si="0"/>
        <v>325</v>
      </c>
      <c r="H11" s="18">
        <f t="shared" ca="1" si="2"/>
        <v>7736</v>
      </c>
      <c r="J11" t="str">
        <f ca="1"/>
        <v>x6</v>
      </c>
      <c r="K11">
        <f ca="1"/>
        <v>-8.8204424770958093E-2</v>
      </c>
      <c r="L11">
        <f ca="1"/>
        <v>-0.36167987730754103</v>
      </c>
      <c r="M11">
        <f ca="1"/>
        <v>-0.17809467990903041</v>
      </c>
      <c r="N11">
        <f ca="1"/>
        <v>-0.12108286205651923</v>
      </c>
      <c r="O11">
        <f ca="1"/>
        <v>0.20298827941613995</v>
      </c>
      <c r="P11">
        <f ca="1"/>
        <v>1</v>
      </c>
      <c r="Q11">
        <f ca="1"/>
        <v>0.57832443714428361</v>
      </c>
    </row>
    <row r="12" spans="1:17" x14ac:dyDescent="0.3">
      <c r="A12">
        <v>10</v>
      </c>
      <c r="B12" s="19">
        <f t="shared" ca="1" si="1"/>
        <v>375</v>
      </c>
      <c r="C12" s="19">
        <f t="shared" ca="1" si="0"/>
        <v>991</v>
      </c>
      <c r="D12" s="19">
        <f t="shared" ca="1" si="0"/>
        <v>802</v>
      </c>
      <c r="E12" s="19">
        <f t="shared" ca="1" si="0"/>
        <v>727</v>
      </c>
      <c r="F12" s="19">
        <f t="shared" ca="1" si="0"/>
        <v>316</v>
      </c>
      <c r="G12" s="19">
        <f t="shared" ca="1" si="0"/>
        <v>749</v>
      </c>
      <c r="H12" s="18">
        <f t="shared" ca="1" si="2"/>
        <v>13745</v>
      </c>
      <c r="J12" t="str">
        <f ca="1"/>
        <v xml:space="preserve">y </v>
      </c>
      <c r="K12">
        <f ca="1"/>
        <v>-6.6889088768540231E-2</v>
      </c>
      <c r="L12">
        <f ca="1"/>
        <v>2.4237129951937733E-2</v>
      </c>
      <c r="M12">
        <f ca="1"/>
        <v>9.4345599069774952E-2</v>
      </c>
      <c r="N12">
        <f ca="1"/>
        <v>0.43737500729395346</v>
      </c>
      <c r="O12">
        <f ca="1"/>
        <v>0.63308147309892282</v>
      </c>
      <c r="P12">
        <f ca="1"/>
        <v>0.57832443714428361</v>
      </c>
      <c r="Q12">
        <f ca="1"/>
        <v>1</v>
      </c>
    </row>
    <row r="13" spans="1:17" x14ac:dyDescent="0.3">
      <c r="A13">
        <v>11</v>
      </c>
      <c r="B13" s="19">
        <f t="shared" ca="1" si="1"/>
        <v>503</v>
      </c>
      <c r="C13" s="19">
        <f t="shared" ca="1" si="0"/>
        <v>158</v>
      </c>
      <c r="D13" s="19">
        <f t="shared" ca="1" si="0"/>
        <v>792</v>
      </c>
      <c r="E13" s="19">
        <f t="shared" ca="1" si="0"/>
        <v>126</v>
      </c>
      <c r="F13" s="19">
        <f t="shared" ca="1" si="0"/>
        <v>691</v>
      </c>
      <c r="G13" s="19">
        <f t="shared" ca="1" si="0"/>
        <v>557</v>
      </c>
      <c r="H13" s="18">
        <f t="shared" ca="1" si="2"/>
        <v>10496</v>
      </c>
    </row>
    <row r="14" spans="1:17" x14ac:dyDescent="0.3">
      <c r="A14">
        <v>12</v>
      </c>
      <c r="B14" s="19">
        <f t="shared" ca="1" si="1"/>
        <v>65</v>
      </c>
      <c r="C14" s="19">
        <f t="shared" ca="1" si="0"/>
        <v>64</v>
      </c>
      <c r="D14" s="19">
        <f t="shared" ca="1" si="0"/>
        <v>176</v>
      </c>
      <c r="E14" s="19">
        <f t="shared" ca="1" si="0"/>
        <v>787</v>
      </c>
      <c r="F14" s="19">
        <f t="shared" ca="1" si="0"/>
        <v>882</v>
      </c>
      <c r="G14" s="19">
        <f t="shared" ca="1" si="0"/>
        <v>764</v>
      </c>
      <c r="H14" s="18">
        <f t="shared" ca="1" si="2"/>
        <v>12863</v>
      </c>
      <c r="J14" t="str" cm="1">
        <f t="array" aca="1" ref="J14" ca="1">CorrPlot(K6:P11,"J15")</f>
        <v>Corr Plot</v>
      </c>
      <c r="K14" t="s">
        <v>35</v>
      </c>
    </row>
    <row r="15" spans="1:17" x14ac:dyDescent="0.3">
      <c r="A15">
        <v>13</v>
      </c>
      <c r="B15" s="19">
        <f t="shared" ca="1" si="1"/>
        <v>594</v>
      </c>
      <c r="C15" s="19">
        <f t="shared" ca="1" si="0"/>
        <v>34</v>
      </c>
      <c r="D15" s="19">
        <f t="shared" ca="1" si="0"/>
        <v>147</v>
      </c>
      <c r="E15" s="19">
        <f t="shared" ca="1" si="0"/>
        <v>93</v>
      </c>
      <c r="F15" s="19">
        <f t="shared" ca="1" si="0"/>
        <v>341</v>
      </c>
      <c r="G15" s="19">
        <f t="shared" ca="1" si="0"/>
        <v>823</v>
      </c>
      <c r="H15" s="18">
        <f t="shared" ca="1" si="2"/>
        <v>8118</v>
      </c>
    </row>
    <row r="16" spans="1:17" x14ac:dyDescent="0.3">
      <c r="A16">
        <v>14</v>
      </c>
      <c r="B16" s="19">
        <f t="shared" ca="1" si="1"/>
        <v>597</v>
      </c>
      <c r="C16" s="19">
        <f t="shared" ca="1" si="0"/>
        <v>502</v>
      </c>
      <c r="D16" s="19">
        <f t="shared" ca="1" si="0"/>
        <v>101</v>
      </c>
      <c r="E16" s="19">
        <f t="shared" ca="1" si="0"/>
        <v>767</v>
      </c>
      <c r="F16" s="19">
        <f t="shared" ca="1" si="0"/>
        <v>224</v>
      </c>
      <c r="G16" s="19">
        <f t="shared" ca="1" si="0"/>
        <v>161</v>
      </c>
      <c r="H16" s="18">
        <f t="shared" ca="1" si="2"/>
        <v>7058</v>
      </c>
    </row>
    <row r="17" spans="1:8" x14ac:dyDescent="0.3">
      <c r="A17">
        <v>15</v>
      </c>
      <c r="B17" s="19">
        <f t="shared" ca="1" si="1"/>
        <v>759</v>
      </c>
      <c r="C17" s="19">
        <f t="shared" ca="1" si="0"/>
        <v>749</v>
      </c>
      <c r="D17" s="19">
        <f t="shared" ca="1" si="0"/>
        <v>321</v>
      </c>
      <c r="E17" s="19">
        <f t="shared" ca="1" si="0"/>
        <v>960</v>
      </c>
      <c r="F17" s="19">
        <f t="shared" ca="1" si="0"/>
        <v>743</v>
      </c>
      <c r="G17" s="19">
        <f t="shared" ca="1" si="0"/>
        <v>587</v>
      </c>
      <c r="H17" s="18">
        <f t="shared" ca="1" si="2"/>
        <v>14297</v>
      </c>
    </row>
    <row r="18" spans="1:8" x14ac:dyDescent="0.3">
      <c r="A18">
        <v>16</v>
      </c>
      <c r="B18" s="19">
        <f t="shared" ca="1" si="1"/>
        <v>793</v>
      </c>
      <c r="C18" s="19">
        <f t="shared" ca="1" si="0"/>
        <v>619</v>
      </c>
      <c r="D18" s="19">
        <f t="shared" ca="1" si="0"/>
        <v>596</v>
      </c>
      <c r="E18" s="19">
        <f t="shared" ca="1" si="0"/>
        <v>939</v>
      </c>
      <c r="F18" s="19">
        <f t="shared" ca="1" si="0"/>
        <v>464</v>
      </c>
      <c r="G18" s="19">
        <f t="shared" ca="1" si="0"/>
        <v>149</v>
      </c>
      <c r="H18" s="18">
        <f t="shared" ca="1" si="2"/>
        <v>10789</v>
      </c>
    </row>
    <row r="19" spans="1:8" x14ac:dyDescent="0.3">
      <c r="A19">
        <v>17</v>
      </c>
      <c r="B19" s="19">
        <f t="shared" ca="1" si="1"/>
        <v>419</v>
      </c>
      <c r="C19" s="19">
        <f t="shared" ca="1" si="1"/>
        <v>746</v>
      </c>
      <c r="D19" s="19">
        <f t="shared" ca="1" si="1"/>
        <v>8</v>
      </c>
      <c r="E19" s="19">
        <f t="shared" ca="1" si="1"/>
        <v>36</v>
      </c>
      <c r="F19" s="19">
        <f t="shared" ca="1" si="1"/>
        <v>578</v>
      </c>
      <c r="G19" s="19">
        <f t="shared" ca="1" si="1"/>
        <v>967</v>
      </c>
      <c r="H19" s="18">
        <f t="shared" ca="1" si="2"/>
        <v>10771</v>
      </c>
    </row>
    <row r="20" spans="1:8" x14ac:dyDescent="0.3">
      <c r="A20">
        <v>18</v>
      </c>
      <c r="B20" s="19">
        <f t="shared" ca="1" si="1"/>
        <v>560</v>
      </c>
      <c r="C20" s="19">
        <f t="shared" ca="1" si="1"/>
        <v>151</v>
      </c>
      <c r="D20" s="19">
        <f t="shared" ca="1" si="1"/>
        <v>116</v>
      </c>
      <c r="E20" s="19">
        <f t="shared" ca="1" si="1"/>
        <v>661</v>
      </c>
      <c r="F20" s="19">
        <f t="shared" ca="1" si="1"/>
        <v>261</v>
      </c>
      <c r="G20" s="19">
        <f t="shared" ca="1" si="1"/>
        <v>191</v>
      </c>
      <c r="H20" s="18">
        <f t="shared" ca="1" si="2"/>
        <v>6305</v>
      </c>
    </row>
    <row r="21" spans="1:8" x14ac:dyDescent="0.3">
      <c r="A21">
        <v>19</v>
      </c>
      <c r="B21" s="19">
        <f t="shared" ca="1" si="1"/>
        <v>369</v>
      </c>
      <c r="C21" s="19">
        <f t="shared" ca="1" si="1"/>
        <v>956</v>
      </c>
      <c r="D21" s="19">
        <f t="shared" ca="1" si="1"/>
        <v>475</v>
      </c>
      <c r="E21" s="19">
        <f t="shared" ca="1" si="1"/>
        <v>129</v>
      </c>
      <c r="F21" s="19">
        <f t="shared" ca="1" si="1"/>
        <v>183</v>
      </c>
      <c r="G21" s="19">
        <f t="shared" ca="1" si="1"/>
        <v>222</v>
      </c>
      <c r="H21" s="18">
        <f t="shared" ca="1" si="2"/>
        <v>6469</v>
      </c>
    </row>
    <row r="23" spans="1:8" x14ac:dyDescent="0.3">
      <c r="B23" s="1" t="s">
        <v>5</v>
      </c>
      <c r="C23" s="1" t="s">
        <v>6</v>
      </c>
      <c r="D23" s="1" t="s">
        <v>7</v>
      </c>
      <c r="E23" s="1" t="s">
        <v>12</v>
      </c>
      <c r="F23" s="1" t="s">
        <v>13</v>
      </c>
      <c r="G23" s="1" t="s">
        <v>14</v>
      </c>
      <c r="H23" s="1" t="s">
        <v>3</v>
      </c>
    </row>
    <row r="24" spans="1:8" x14ac:dyDescent="0.3">
      <c r="B24" s="2">
        <f t="shared" ref="B24:G24" ca="1" si="3">RANDBETWEEN(1,1000)</f>
        <v>461</v>
      </c>
      <c r="C24" s="2">
        <f t="shared" ca="1" si="3"/>
        <v>976</v>
      </c>
      <c r="D24" s="2">
        <f t="shared" ca="1" si="3"/>
        <v>567</v>
      </c>
      <c r="E24" s="2">
        <f t="shared" ca="1" si="3"/>
        <v>927</v>
      </c>
      <c r="F24" s="2">
        <f t="shared" ca="1" si="3"/>
        <v>67</v>
      </c>
      <c r="G24" s="2">
        <f t="shared" ca="1" si="3"/>
        <v>715</v>
      </c>
      <c r="H24" s="3" cm="1">
        <f t="array" aca="1" ref="H24" ca="1">predictLr(B3:G21,H3:H21,B24:G24)</f>
        <v>12447</v>
      </c>
    </row>
    <row r="25" spans="1:8" x14ac:dyDescent="0.3">
      <c r="E25" t="s">
        <v>36</v>
      </c>
    </row>
    <row r="26" spans="1:8" x14ac:dyDescent="0.3">
      <c r="G26" s="2" t="s">
        <v>8</v>
      </c>
      <c r="H26" s="2">
        <f ca="1">B24+2*C24+3*D24+4*E24+5*F24+6*G24</f>
        <v>12447</v>
      </c>
    </row>
  </sheetData>
  <mergeCells count="3">
    <mergeCell ref="J3:N3"/>
    <mergeCell ref="J2:N2"/>
    <mergeCell ref="C1:L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8D80B-1315-419B-B571-1D57A197154C}">
  <sheetPr codeName="Sheet3"/>
  <dimension ref="A1:P246"/>
  <sheetViews>
    <sheetView topLeftCell="A11" workbookViewId="0">
      <selection activeCell="I3" sqref="I3"/>
    </sheetView>
  </sheetViews>
  <sheetFormatPr defaultRowHeight="14.4" x14ac:dyDescent="0.3"/>
  <sheetData>
    <row r="1" spans="1:16" ht="29.4" thickBot="1" x14ac:dyDescent="0.6">
      <c r="E1" s="22" t="s">
        <v>15</v>
      </c>
      <c r="F1" s="22"/>
      <c r="G1" s="22"/>
      <c r="H1" s="22"/>
    </row>
    <row r="2" spans="1:16" ht="16.2" thickBot="1" x14ac:dyDescent="0.35">
      <c r="A2" s="5" t="s">
        <v>16</v>
      </c>
      <c r="B2" s="6" t="s">
        <v>17</v>
      </c>
      <c r="C2" s="6" t="s">
        <v>18</v>
      </c>
      <c r="D2" s="6" t="s">
        <v>19</v>
      </c>
      <c r="E2" s="6" t="s">
        <v>20</v>
      </c>
      <c r="F2" s="6" t="s">
        <v>21</v>
      </c>
      <c r="G2" s="7" t="s">
        <v>22</v>
      </c>
    </row>
    <row r="3" spans="1:16" ht="15.6" x14ac:dyDescent="0.3">
      <c r="A3" s="11">
        <v>16.989999999999998</v>
      </c>
      <c r="B3" s="9">
        <v>1.01</v>
      </c>
      <c r="C3" s="9" t="s">
        <v>23</v>
      </c>
      <c r="D3" s="9" t="s">
        <v>24</v>
      </c>
      <c r="E3" s="9" t="s">
        <v>25</v>
      </c>
      <c r="F3" s="9" t="s">
        <v>26</v>
      </c>
      <c r="G3" s="12">
        <v>2</v>
      </c>
      <c r="I3" t="str" cm="1">
        <f t="array" ref="I3">barChart(E2,A2,"I4")</f>
        <v>Bar Chart</v>
      </c>
      <c r="P3" t="str" cm="1">
        <f t="array" ref="P3">barChart(A2, B2,"P4")</f>
        <v>Bar Chart</v>
      </c>
    </row>
    <row r="4" spans="1:16" ht="15.6" x14ac:dyDescent="0.3">
      <c r="A4" s="13">
        <v>10.34</v>
      </c>
      <c r="B4" s="10">
        <v>1.66</v>
      </c>
      <c r="C4" s="10" t="s">
        <v>27</v>
      </c>
      <c r="D4" s="10" t="s">
        <v>24</v>
      </c>
      <c r="E4" s="10" t="s">
        <v>25</v>
      </c>
      <c r="F4" s="10" t="s">
        <v>26</v>
      </c>
      <c r="G4" s="14">
        <v>3</v>
      </c>
    </row>
    <row r="5" spans="1:16" ht="15.6" x14ac:dyDescent="0.3">
      <c r="A5" s="13">
        <v>21.01</v>
      </c>
      <c r="B5" s="10">
        <v>3.5</v>
      </c>
      <c r="C5" s="10" t="s">
        <v>27</v>
      </c>
      <c r="D5" s="10" t="s">
        <v>24</v>
      </c>
      <c r="E5" s="10" t="s">
        <v>25</v>
      </c>
      <c r="F5" s="10" t="s">
        <v>26</v>
      </c>
      <c r="G5" s="14">
        <v>3</v>
      </c>
    </row>
    <row r="6" spans="1:16" ht="15.6" x14ac:dyDescent="0.3">
      <c r="A6" s="13">
        <v>23.68</v>
      </c>
      <c r="B6" s="10">
        <v>3.31</v>
      </c>
      <c r="C6" s="10" t="s">
        <v>27</v>
      </c>
      <c r="D6" s="10" t="s">
        <v>24</v>
      </c>
      <c r="E6" s="10" t="s">
        <v>25</v>
      </c>
      <c r="F6" s="10" t="s">
        <v>26</v>
      </c>
      <c r="G6" s="14">
        <v>2</v>
      </c>
    </row>
    <row r="7" spans="1:16" ht="15.6" x14ac:dyDescent="0.3">
      <c r="A7" s="13">
        <v>24.59</v>
      </c>
      <c r="B7" s="10">
        <v>3.61</v>
      </c>
      <c r="C7" s="10" t="s">
        <v>23</v>
      </c>
      <c r="D7" s="10" t="s">
        <v>24</v>
      </c>
      <c r="E7" s="10" t="s">
        <v>25</v>
      </c>
      <c r="F7" s="10" t="s">
        <v>26</v>
      </c>
      <c r="G7" s="14">
        <v>4</v>
      </c>
    </row>
    <row r="8" spans="1:16" ht="15.6" x14ac:dyDescent="0.3">
      <c r="A8" s="13">
        <v>25.29</v>
      </c>
      <c r="B8" s="10">
        <v>4.71</v>
      </c>
      <c r="C8" s="10" t="s">
        <v>27</v>
      </c>
      <c r="D8" s="10" t="s">
        <v>24</v>
      </c>
      <c r="E8" s="10" t="s">
        <v>25</v>
      </c>
      <c r="F8" s="10" t="s">
        <v>26</v>
      </c>
      <c r="G8" s="14">
        <v>4</v>
      </c>
    </row>
    <row r="9" spans="1:16" ht="15.6" x14ac:dyDescent="0.3">
      <c r="A9" s="13">
        <v>8.77</v>
      </c>
      <c r="B9" s="10">
        <v>2</v>
      </c>
      <c r="C9" s="10" t="s">
        <v>27</v>
      </c>
      <c r="D9" s="10" t="s">
        <v>24</v>
      </c>
      <c r="E9" s="10" t="s">
        <v>25</v>
      </c>
      <c r="F9" s="10" t="s">
        <v>26</v>
      </c>
      <c r="G9" s="14">
        <v>2</v>
      </c>
    </row>
    <row r="10" spans="1:16" ht="15.6" x14ac:dyDescent="0.3">
      <c r="A10" s="13">
        <v>26.88</v>
      </c>
      <c r="B10" s="10">
        <v>3.12</v>
      </c>
      <c r="C10" s="10" t="s">
        <v>27</v>
      </c>
      <c r="D10" s="10" t="s">
        <v>24</v>
      </c>
      <c r="E10" s="10" t="s">
        <v>25</v>
      </c>
      <c r="F10" s="10" t="s">
        <v>26</v>
      </c>
      <c r="G10" s="14">
        <v>4</v>
      </c>
    </row>
    <row r="11" spans="1:16" ht="15.6" x14ac:dyDescent="0.3">
      <c r="A11" s="13">
        <v>15.04</v>
      </c>
      <c r="B11" s="10">
        <v>1.96</v>
      </c>
      <c r="C11" s="10" t="s">
        <v>27</v>
      </c>
      <c r="D11" s="10" t="s">
        <v>24</v>
      </c>
      <c r="E11" s="10" t="s">
        <v>25</v>
      </c>
      <c r="F11" s="10" t="s">
        <v>26</v>
      </c>
      <c r="G11" s="14">
        <v>2</v>
      </c>
    </row>
    <row r="12" spans="1:16" ht="15.6" x14ac:dyDescent="0.3">
      <c r="A12" s="13">
        <v>14.78</v>
      </c>
      <c r="B12" s="10">
        <v>3.23</v>
      </c>
      <c r="C12" s="10" t="s">
        <v>27</v>
      </c>
      <c r="D12" s="10" t="s">
        <v>24</v>
      </c>
      <c r="E12" s="10" t="s">
        <v>25</v>
      </c>
      <c r="F12" s="10" t="s">
        <v>26</v>
      </c>
      <c r="G12" s="14">
        <v>2</v>
      </c>
    </row>
    <row r="13" spans="1:16" ht="15.6" x14ac:dyDescent="0.3">
      <c r="A13" s="13">
        <v>10.27</v>
      </c>
      <c r="B13" s="10">
        <v>1.71</v>
      </c>
      <c r="C13" s="10" t="s">
        <v>27</v>
      </c>
      <c r="D13" s="10" t="s">
        <v>24</v>
      </c>
      <c r="E13" s="10" t="s">
        <v>25</v>
      </c>
      <c r="F13" s="10" t="s">
        <v>26</v>
      </c>
      <c r="G13" s="14">
        <v>2</v>
      </c>
    </row>
    <row r="14" spans="1:16" ht="15.6" x14ac:dyDescent="0.3">
      <c r="A14" s="13">
        <v>35.26</v>
      </c>
      <c r="B14" s="10">
        <v>5</v>
      </c>
      <c r="C14" s="10" t="s">
        <v>23</v>
      </c>
      <c r="D14" s="10" t="s">
        <v>24</v>
      </c>
      <c r="E14" s="10" t="s">
        <v>25</v>
      </c>
      <c r="F14" s="10" t="s">
        <v>26</v>
      </c>
      <c r="G14" s="14">
        <v>4</v>
      </c>
    </row>
    <row r="15" spans="1:16" ht="15.6" x14ac:dyDescent="0.3">
      <c r="A15" s="13">
        <v>15.42</v>
      </c>
      <c r="B15" s="10">
        <v>1.57</v>
      </c>
      <c r="C15" s="10" t="s">
        <v>27</v>
      </c>
      <c r="D15" s="10" t="s">
        <v>24</v>
      </c>
      <c r="E15" s="10" t="s">
        <v>25</v>
      </c>
      <c r="F15" s="10" t="s">
        <v>26</v>
      </c>
      <c r="G15" s="14">
        <v>2</v>
      </c>
    </row>
    <row r="16" spans="1:16" ht="15.6" x14ac:dyDescent="0.3">
      <c r="A16" s="13">
        <v>18.43</v>
      </c>
      <c r="B16" s="10">
        <v>3</v>
      </c>
      <c r="C16" s="10" t="s">
        <v>27</v>
      </c>
      <c r="D16" s="10" t="s">
        <v>24</v>
      </c>
      <c r="E16" s="10" t="s">
        <v>25</v>
      </c>
      <c r="F16" s="10" t="s">
        <v>26</v>
      </c>
      <c r="G16" s="14">
        <v>4</v>
      </c>
    </row>
    <row r="17" spans="1:9" ht="15.6" x14ac:dyDescent="0.3">
      <c r="A17" s="13">
        <v>14.83</v>
      </c>
      <c r="B17" s="10">
        <v>3.02</v>
      </c>
      <c r="C17" s="10" t="s">
        <v>23</v>
      </c>
      <c r="D17" s="10" t="s">
        <v>24</v>
      </c>
      <c r="E17" s="10" t="s">
        <v>25</v>
      </c>
      <c r="F17" s="10" t="s">
        <v>26</v>
      </c>
      <c r="G17" s="14">
        <v>2</v>
      </c>
    </row>
    <row r="18" spans="1:9" ht="15.6" x14ac:dyDescent="0.3">
      <c r="A18" s="13">
        <v>21.58</v>
      </c>
      <c r="B18" s="10">
        <v>3.92</v>
      </c>
      <c r="C18" s="10" t="s">
        <v>27</v>
      </c>
      <c r="D18" s="10" t="s">
        <v>24</v>
      </c>
      <c r="E18" s="10" t="s">
        <v>25</v>
      </c>
      <c r="F18" s="10" t="s">
        <v>26</v>
      </c>
      <c r="G18" s="14">
        <v>2</v>
      </c>
    </row>
    <row r="19" spans="1:9" ht="15.6" x14ac:dyDescent="0.3">
      <c r="A19" s="13">
        <v>10.33</v>
      </c>
      <c r="B19" s="10">
        <v>1.67</v>
      </c>
      <c r="C19" s="10" t="s">
        <v>23</v>
      </c>
      <c r="D19" s="10" t="s">
        <v>24</v>
      </c>
      <c r="E19" s="10" t="s">
        <v>25</v>
      </c>
      <c r="F19" s="10" t="s">
        <v>26</v>
      </c>
      <c r="G19" s="14">
        <v>3</v>
      </c>
    </row>
    <row r="20" spans="1:9" ht="15.6" x14ac:dyDescent="0.3">
      <c r="A20" s="13">
        <v>16.29</v>
      </c>
      <c r="B20" s="10">
        <v>3.71</v>
      </c>
      <c r="C20" s="10" t="s">
        <v>27</v>
      </c>
      <c r="D20" s="10" t="s">
        <v>24</v>
      </c>
      <c r="E20" s="10" t="s">
        <v>25</v>
      </c>
      <c r="F20" s="10" t="s">
        <v>26</v>
      </c>
      <c r="G20" s="14">
        <v>3</v>
      </c>
      <c r="I20" t="str" cm="1">
        <f t="array" ref="I20">scatterChart(A2,B2,D2,"I21")</f>
        <v>Scatter Chart</v>
      </c>
    </row>
    <row r="21" spans="1:9" ht="15.6" x14ac:dyDescent="0.3">
      <c r="A21" s="13">
        <v>16.97</v>
      </c>
      <c r="B21" s="10">
        <v>3.5</v>
      </c>
      <c r="C21" s="10" t="s">
        <v>23</v>
      </c>
      <c r="D21" s="10" t="s">
        <v>24</v>
      </c>
      <c r="E21" s="10" t="s">
        <v>25</v>
      </c>
      <c r="F21" s="10" t="s">
        <v>26</v>
      </c>
      <c r="G21" s="14">
        <v>3</v>
      </c>
    </row>
    <row r="22" spans="1:9" ht="15.6" x14ac:dyDescent="0.3">
      <c r="A22" s="13">
        <v>20.65</v>
      </c>
      <c r="B22" s="10">
        <v>3.35</v>
      </c>
      <c r="C22" s="10" t="s">
        <v>27</v>
      </c>
      <c r="D22" s="10" t="s">
        <v>24</v>
      </c>
      <c r="E22" s="10" t="s">
        <v>28</v>
      </c>
      <c r="F22" s="10" t="s">
        <v>26</v>
      </c>
      <c r="G22" s="14">
        <v>3</v>
      </c>
    </row>
    <row r="23" spans="1:9" ht="15.6" x14ac:dyDescent="0.3">
      <c r="A23" s="13">
        <v>17.920000000000002</v>
      </c>
      <c r="B23" s="10">
        <v>4.08</v>
      </c>
      <c r="C23" s="10" t="s">
        <v>27</v>
      </c>
      <c r="D23" s="10" t="s">
        <v>24</v>
      </c>
      <c r="E23" s="10" t="s">
        <v>28</v>
      </c>
      <c r="F23" s="10" t="s">
        <v>26</v>
      </c>
      <c r="G23" s="14">
        <v>2</v>
      </c>
    </row>
    <row r="24" spans="1:9" ht="15.6" x14ac:dyDescent="0.3">
      <c r="A24" s="13">
        <v>20.29</v>
      </c>
      <c r="B24" s="10">
        <v>2.75</v>
      </c>
      <c r="C24" s="10" t="s">
        <v>23</v>
      </c>
      <c r="D24" s="10" t="s">
        <v>24</v>
      </c>
      <c r="E24" s="10" t="s">
        <v>28</v>
      </c>
      <c r="F24" s="10" t="s">
        <v>26</v>
      </c>
      <c r="G24" s="14">
        <v>2</v>
      </c>
    </row>
    <row r="25" spans="1:9" ht="15.6" x14ac:dyDescent="0.3">
      <c r="A25" s="13">
        <v>15.77</v>
      </c>
      <c r="B25" s="10">
        <v>2.23</v>
      </c>
      <c r="C25" s="10" t="s">
        <v>23</v>
      </c>
      <c r="D25" s="10" t="s">
        <v>24</v>
      </c>
      <c r="E25" s="10" t="s">
        <v>28</v>
      </c>
      <c r="F25" s="10" t="s">
        <v>26</v>
      </c>
      <c r="G25" s="14">
        <v>2</v>
      </c>
    </row>
    <row r="26" spans="1:9" ht="15.6" x14ac:dyDescent="0.3">
      <c r="A26" s="13">
        <v>39.42</v>
      </c>
      <c r="B26" s="10">
        <v>7.58</v>
      </c>
      <c r="C26" s="10" t="s">
        <v>27</v>
      </c>
      <c r="D26" s="10" t="s">
        <v>24</v>
      </c>
      <c r="E26" s="10" t="s">
        <v>28</v>
      </c>
      <c r="F26" s="10" t="s">
        <v>26</v>
      </c>
      <c r="G26" s="14">
        <v>4</v>
      </c>
    </row>
    <row r="27" spans="1:9" ht="15.6" x14ac:dyDescent="0.3">
      <c r="A27" s="13">
        <v>19.82</v>
      </c>
      <c r="B27" s="10">
        <v>3.18</v>
      </c>
      <c r="C27" s="10" t="s">
        <v>27</v>
      </c>
      <c r="D27" s="10" t="s">
        <v>24</v>
      </c>
      <c r="E27" s="10" t="s">
        <v>28</v>
      </c>
      <c r="F27" s="10" t="s">
        <v>26</v>
      </c>
      <c r="G27" s="14">
        <v>2</v>
      </c>
    </row>
    <row r="28" spans="1:9" ht="15.6" x14ac:dyDescent="0.3">
      <c r="A28" s="13">
        <v>17.809999999999999</v>
      </c>
      <c r="B28" s="10">
        <v>2.34</v>
      </c>
      <c r="C28" s="10" t="s">
        <v>27</v>
      </c>
      <c r="D28" s="10" t="s">
        <v>24</v>
      </c>
      <c r="E28" s="10" t="s">
        <v>28</v>
      </c>
      <c r="F28" s="10" t="s">
        <v>26</v>
      </c>
      <c r="G28" s="14">
        <v>4</v>
      </c>
    </row>
    <row r="29" spans="1:9" ht="15.6" x14ac:dyDescent="0.3">
      <c r="A29" s="13">
        <v>13.37</v>
      </c>
      <c r="B29" s="10">
        <v>2</v>
      </c>
      <c r="C29" s="10" t="s">
        <v>27</v>
      </c>
      <c r="D29" s="10" t="s">
        <v>24</v>
      </c>
      <c r="E29" s="10" t="s">
        <v>28</v>
      </c>
      <c r="F29" s="10" t="s">
        <v>26</v>
      </c>
      <c r="G29" s="14">
        <v>2</v>
      </c>
    </row>
    <row r="30" spans="1:9" ht="15.6" x14ac:dyDescent="0.3">
      <c r="A30" s="13">
        <v>12.69</v>
      </c>
      <c r="B30" s="10">
        <v>2</v>
      </c>
      <c r="C30" s="10" t="s">
        <v>27</v>
      </c>
      <c r="D30" s="10" t="s">
        <v>24</v>
      </c>
      <c r="E30" s="10" t="s">
        <v>28</v>
      </c>
      <c r="F30" s="10" t="s">
        <v>26</v>
      </c>
      <c r="G30" s="14">
        <v>2</v>
      </c>
    </row>
    <row r="31" spans="1:9" ht="15.6" x14ac:dyDescent="0.3">
      <c r="A31" s="13">
        <v>21.7</v>
      </c>
      <c r="B31" s="10">
        <v>4.3</v>
      </c>
      <c r="C31" s="10" t="s">
        <v>27</v>
      </c>
      <c r="D31" s="10" t="s">
        <v>24</v>
      </c>
      <c r="E31" s="10" t="s">
        <v>28</v>
      </c>
      <c r="F31" s="10" t="s">
        <v>26</v>
      </c>
      <c r="G31" s="14">
        <v>2</v>
      </c>
    </row>
    <row r="32" spans="1:9" ht="15.6" x14ac:dyDescent="0.3">
      <c r="A32" s="13">
        <v>19.649999999999999</v>
      </c>
      <c r="B32" s="10">
        <v>3</v>
      </c>
      <c r="C32" s="10" t="s">
        <v>23</v>
      </c>
      <c r="D32" s="10" t="s">
        <v>24</v>
      </c>
      <c r="E32" s="10" t="s">
        <v>28</v>
      </c>
      <c r="F32" s="10" t="s">
        <v>26</v>
      </c>
      <c r="G32" s="14">
        <v>2</v>
      </c>
    </row>
    <row r="33" spans="1:13" ht="15.6" x14ac:dyDescent="0.3">
      <c r="A33" s="13">
        <v>9.5500000000000007</v>
      </c>
      <c r="B33" s="10">
        <v>1.45</v>
      </c>
      <c r="C33" s="10" t="s">
        <v>27</v>
      </c>
      <c r="D33" s="10" t="s">
        <v>24</v>
      </c>
      <c r="E33" s="10" t="s">
        <v>28</v>
      </c>
      <c r="F33" s="10" t="s">
        <v>26</v>
      </c>
      <c r="G33" s="14">
        <v>2</v>
      </c>
    </row>
    <row r="34" spans="1:13" ht="15.6" x14ac:dyDescent="0.3">
      <c r="A34" s="13">
        <v>18.350000000000001</v>
      </c>
      <c r="B34" s="10">
        <v>2.5</v>
      </c>
      <c r="C34" s="10" t="s">
        <v>27</v>
      </c>
      <c r="D34" s="10" t="s">
        <v>24</v>
      </c>
      <c r="E34" s="10" t="s">
        <v>28</v>
      </c>
      <c r="F34" s="10" t="s">
        <v>26</v>
      </c>
      <c r="G34" s="14">
        <v>4</v>
      </c>
    </row>
    <row r="35" spans="1:13" ht="15.6" x14ac:dyDescent="0.3">
      <c r="A35" s="13">
        <v>15.06</v>
      </c>
      <c r="B35" s="10">
        <v>3</v>
      </c>
      <c r="C35" s="10" t="s">
        <v>23</v>
      </c>
      <c r="D35" s="10" t="s">
        <v>24</v>
      </c>
      <c r="E35" s="10" t="s">
        <v>28</v>
      </c>
      <c r="F35" s="10" t="s">
        <v>26</v>
      </c>
      <c r="G35" s="14">
        <v>2</v>
      </c>
    </row>
    <row r="36" spans="1:13" ht="15.6" x14ac:dyDescent="0.3">
      <c r="A36" s="13">
        <v>20.69</v>
      </c>
      <c r="B36" s="10">
        <v>2.4500000000000002</v>
      </c>
      <c r="C36" s="10" t="s">
        <v>23</v>
      </c>
      <c r="D36" s="10" t="s">
        <v>24</v>
      </c>
      <c r="E36" s="10" t="s">
        <v>28</v>
      </c>
      <c r="F36" s="10" t="s">
        <v>26</v>
      </c>
      <c r="G36" s="14">
        <v>4</v>
      </c>
      <c r="I36" s="23"/>
      <c r="J36" s="23"/>
      <c r="K36" s="23"/>
      <c r="L36" s="23"/>
      <c r="M36" s="23"/>
    </row>
    <row r="37" spans="1:13" ht="15.6" x14ac:dyDescent="0.3">
      <c r="A37" s="13">
        <v>17.78</v>
      </c>
      <c r="B37" s="10">
        <v>3.27</v>
      </c>
      <c r="C37" s="10" t="s">
        <v>27</v>
      </c>
      <c r="D37" s="10" t="s">
        <v>24</v>
      </c>
      <c r="E37" s="10" t="s">
        <v>28</v>
      </c>
      <c r="F37" s="10" t="s">
        <v>26</v>
      </c>
      <c r="G37" s="14">
        <v>2</v>
      </c>
      <c r="I37" s="23"/>
      <c r="J37" s="23"/>
      <c r="K37" s="23"/>
      <c r="L37" s="23"/>
      <c r="M37" s="23"/>
    </row>
    <row r="38" spans="1:13" ht="15.6" x14ac:dyDescent="0.3">
      <c r="A38" s="13">
        <v>24.06</v>
      </c>
      <c r="B38" s="10">
        <v>3.6</v>
      </c>
      <c r="C38" s="10" t="s">
        <v>27</v>
      </c>
      <c r="D38" s="10" t="s">
        <v>24</v>
      </c>
      <c r="E38" s="10" t="s">
        <v>28</v>
      </c>
      <c r="F38" s="10" t="s">
        <v>26</v>
      </c>
      <c r="G38" s="14">
        <v>3</v>
      </c>
    </row>
    <row r="39" spans="1:13" ht="15.6" x14ac:dyDescent="0.3">
      <c r="A39" s="13">
        <v>16.309999999999999</v>
      </c>
      <c r="B39" s="10">
        <v>2</v>
      </c>
      <c r="C39" s="10" t="s">
        <v>27</v>
      </c>
      <c r="D39" s="10" t="s">
        <v>24</v>
      </c>
      <c r="E39" s="10" t="s">
        <v>28</v>
      </c>
      <c r="F39" s="10" t="s">
        <v>26</v>
      </c>
      <c r="G39" s="14">
        <v>3</v>
      </c>
    </row>
    <row r="40" spans="1:13" ht="15.6" x14ac:dyDescent="0.3">
      <c r="A40" s="13">
        <v>16.93</v>
      </c>
      <c r="B40" s="10">
        <v>3.07</v>
      </c>
      <c r="C40" s="10" t="s">
        <v>23</v>
      </c>
      <c r="D40" s="10" t="s">
        <v>24</v>
      </c>
      <c r="E40" s="10" t="s">
        <v>28</v>
      </c>
      <c r="F40" s="10" t="s">
        <v>26</v>
      </c>
      <c r="G40" s="14">
        <v>3</v>
      </c>
    </row>
    <row r="41" spans="1:13" ht="15.6" x14ac:dyDescent="0.3">
      <c r="A41" s="13">
        <v>18.690000000000001</v>
      </c>
      <c r="B41" s="10">
        <v>2.31</v>
      </c>
      <c r="C41" s="10" t="s">
        <v>27</v>
      </c>
      <c r="D41" s="10" t="s">
        <v>24</v>
      </c>
      <c r="E41" s="10" t="s">
        <v>28</v>
      </c>
      <c r="F41" s="10" t="s">
        <v>26</v>
      </c>
      <c r="G41" s="14">
        <v>3</v>
      </c>
    </row>
    <row r="42" spans="1:13" ht="15.6" x14ac:dyDescent="0.3">
      <c r="A42" s="13">
        <v>31.27</v>
      </c>
      <c r="B42" s="10">
        <v>5</v>
      </c>
      <c r="C42" s="10" t="s">
        <v>27</v>
      </c>
      <c r="D42" s="10" t="s">
        <v>24</v>
      </c>
      <c r="E42" s="10" t="s">
        <v>28</v>
      </c>
      <c r="F42" s="10" t="s">
        <v>26</v>
      </c>
      <c r="G42" s="14">
        <v>3</v>
      </c>
    </row>
    <row r="43" spans="1:13" ht="15.6" x14ac:dyDescent="0.3">
      <c r="A43" s="13">
        <v>16.04</v>
      </c>
      <c r="B43" s="10">
        <v>2.2400000000000002</v>
      </c>
      <c r="C43" s="10" t="s">
        <v>27</v>
      </c>
      <c r="D43" s="10" t="s">
        <v>24</v>
      </c>
      <c r="E43" s="10" t="s">
        <v>28</v>
      </c>
      <c r="F43" s="10" t="s">
        <v>26</v>
      </c>
      <c r="G43" s="14">
        <v>3</v>
      </c>
    </row>
    <row r="44" spans="1:13" ht="15.6" x14ac:dyDescent="0.3">
      <c r="A44" s="13">
        <v>17.46</v>
      </c>
      <c r="B44" s="10">
        <v>2.54</v>
      </c>
      <c r="C44" s="10" t="s">
        <v>27</v>
      </c>
      <c r="D44" s="10" t="s">
        <v>24</v>
      </c>
      <c r="E44" s="10" t="s">
        <v>25</v>
      </c>
      <c r="F44" s="10" t="s">
        <v>26</v>
      </c>
      <c r="G44" s="14">
        <v>2</v>
      </c>
    </row>
    <row r="45" spans="1:13" ht="15.6" x14ac:dyDescent="0.3">
      <c r="A45" s="13">
        <v>13.94</v>
      </c>
      <c r="B45" s="10">
        <v>3.06</v>
      </c>
      <c r="C45" s="10" t="s">
        <v>27</v>
      </c>
      <c r="D45" s="10" t="s">
        <v>24</v>
      </c>
      <c r="E45" s="10" t="s">
        <v>25</v>
      </c>
      <c r="F45" s="10" t="s">
        <v>26</v>
      </c>
      <c r="G45" s="14">
        <v>2</v>
      </c>
    </row>
    <row r="46" spans="1:13" ht="15.6" x14ac:dyDescent="0.3">
      <c r="A46" s="13">
        <v>9.68</v>
      </c>
      <c r="B46" s="10">
        <v>1.32</v>
      </c>
      <c r="C46" s="10" t="s">
        <v>27</v>
      </c>
      <c r="D46" s="10" t="s">
        <v>24</v>
      </c>
      <c r="E46" s="10" t="s">
        <v>25</v>
      </c>
      <c r="F46" s="10" t="s">
        <v>26</v>
      </c>
      <c r="G46" s="14">
        <v>2</v>
      </c>
    </row>
    <row r="47" spans="1:13" ht="15.6" x14ac:dyDescent="0.3">
      <c r="A47" s="13">
        <v>30.4</v>
      </c>
      <c r="B47" s="10">
        <v>5.6</v>
      </c>
      <c r="C47" s="10" t="s">
        <v>27</v>
      </c>
      <c r="D47" s="10" t="s">
        <v>24</v>
      </c>
      <c r="E47" s="10" t="s">
        <v>25</v>
      </c>
      <c r="F47" s="10" t="s">
        <v>26</v>
      </c>
      <c r="G47" s="14">
        <v>4</v>
      </c>
    </row>
    <row r="48" spans="1:13" ht="15.6" x14ac:dyDescent="0.3">
      <c r="A48" s="13">
        <v>18.29</v>
      </c>
      <c r="B48" s="10">
        <v>3</v>
      </c>
      <c r="C48" s="10" t="s">
        <v>27</v>
      </c>
      <c r="D48" s="10" t="s">
        <v>24</v>
      </c>
      <c r="E48" s="10" t="s">
        <v>25</v>
      </c>
      <c r="F48" s="10" t="s">
        <v>26</v>
      </c>
      <c r="G48" s="14">
        <v>2</v>
      </c>
    </row>
    <row r="49" spans="1:7" ht="15.6" x14ac:dyDescent="0.3">
      <c r="A49" s="13">
        <v>22.23</v>
      </c>
      <c r="B49" s="10">
        <v>5</v>
      </c>
      <c r="C49" s="10" t="s">
        <v>27</v>
      </c>
      <c r="D49" s="10" t="s">
        <v>24</v>
      </c>
      <c r="E49" s="10" t="s">
        <v>25</v>
      </c>
      <c r="F49" s="10" t="s">
        <v>26</v>
      </c>
      <c r="G49" s="14">
        <v>2</v>
      </c>
    </row>
    <row r="50" spans="1:7" ht="15.6" x14ac:dyDescent="0.3">
      <c r="A50" s="13">
        <v>32.4</v>
      </c>
      <c r="B50" s="10">
        <v>6</v>
      </c>
      <c r="C50" s="10" t="s">
        <v>27</v>
      </c>
      <c r="D50" s="10" t="s">
        <v>24</v>
      </c>
      <c r="E50" s="10" t="s">
        <v>25</v>
      </c>
      <c r="F50" s="10" t="s">
        <v>26</v>
      </c>
      <c r="G50" s="14">
        <v>4</v>
      </c>
    </row>
    <row r="51" spans="1:7" ht="15.6" x14ac:dyDescent="0.3">
      <c r="A51" s="13">
        <v>28.55</v>
      </c>
      <c r="B51" s="10">
        <v>2.0499999999999998</v>
      </c>
      <c r="C51" s="10" t="s">
        <v>27</v>
      </c>
      <c r="D51" s="10" t="s">
        <v>24</v>
      </c>
      <c r="E51" s="10" t="s">
        <v>25</v>
      </c>
      <c r="F51" s="10" t="s">
        <v>26</v>
      </c>
      <c r="G51" s="14">
        <v>3</v>
      </c>
    </row>
    <row r="52" spans="1:7" ht="15.6" x14ac:dyDescent="0.3">
      <c r="A52" s="13">
        <v>18.04</v>
      </c>
      <c r="B52" s="10">
        <v>3</v>
      </c>
      <c r="C52" s="10" t="s">
        <v>27</v>
      </c>
      <c r="D52" s="10" t="s">
        <v>24</v>
      </c>
      <c r="E52" s="10" t="s">
        <v>25</v>
      </c>
      <c r="F52" s="10" t="s">
        <v>26</v>
      </c>
      <c r="G52" s="14">
        <v>2</v>
      </c>
    </row>
    <row r="53" spans="1:7" ht="15.6" x14ac:dyDescent="0.3">
      <c r="A53" s="13">
        <v>12.54</v>
      </c>
      <c r="B53" s="10">
        <v>2.5</v>
      </c>
      <c r="C53" s="10" t="s">
        <v>27</v>
      </c>
      <c r="D53" s="10" t="s">
        <v>24</v>
      </c>
      <c r="E53" s="10" t="s">
        <v>25</v>
      </c>
      <c r="F53" s="10" t="s">
        <v>26</v>
      </c>
      <c r="G53" s="14">
        <v>2</v>
      </c>
    </row>
    <row r="54" spans="1:7" ht="15.6" x14ac:dyDescent="0.3">
      <c r="A54" s="13">
        <v>10.29</v>
      </c>
      <c r="B54" s="10">
        <v>2.6</v>
      </c>
      <c r="C54" s="10" t="s">
        <v>23</v>
      </c>
      <c r="D54" s="10" t="s">
        <v>24</v>
      </c>
      <c r="E54" s="10" t="s">
        <v>25</v>
      </c>
      <c r="F54" s="10" t="s">
        <v>26</v>
      </c>
      <c r="G54" s="14">
        <v>2</v>
      </c>
    </row>
    <row r="55" spans="1:7" ht="15.6" x14ac:dyDescent="0.3">
      <c r="A55" s="13">
        <v>34.81</v>
      </c>
      <c r="B55" s="10">
        <v>5.2</v>
      </c>
      <c r="C55" s="10" t="s">
        <v>23</v>
      </c>
      <c r="D55" s="10" t="s">
        <v>24</v>
      </c>
      <c r="E55" s="10" t="s">
        <v>25</v>
      </c>
      <c r="F55" s="10" t="s">
        <v>26</v>
      </c>
      <c r="G55" s="14">
        <v>4</v>
      </c>
    </row>
    <row r="56" spans="1:7" ht="15.6" x14ac:dyDescent="0.3">
      <c r="A56" s="13">
        <v>9.94</v>
      </c>
      <c r="B56" s="10">
        <v>1.56</v>
      </c>
      <c r="C56" s="10" t="s">
        <v>27</v>
      </c>
      <c r="D56" s="10" t="s">
        <v>24</v>
      </c>
      <c r="E56" s="10" t="s">
        <v>25</v>
      </c>
      <c r="F56" s="10" t="s">
        <v>26</v>
      </c>
      <c r="G56" s="14">
        <v>2</v>
      </c>
    </row>
    <row r="57" spans="1:7" ht="15.6" x14ac:dyDescent="0.3">
      <c r="A57" s="13">
        <v>25.56</v>
      </c>
      <c r="B57" s="10">
        <v>4.34</v>
      </c>
      <c r="C57" s="10" t="s">
        <v>27</v>
      </c>
      <c r="D57" s="10" t="s">
        <v>24</v>
      </c>
      <c r="E57" s="10" t="s">
        <v>25</v>
      </c>
      <c r="F57" s="10" t="s">
        <v>26</v>
      </c>
      <c r="G57" s="14">
        <v>4</v>
      </c>
    </row>
    <row r="58" spans="1:7" ht="15.6" x14ac:dyDescent="0.3">
      <c r="A58" s="13">
        <v>19.489999999999998</v>
      </c>
      <c r="B58" s="10">
        <v>3.51</v>
      </c>
      <c r="C58" s="10" t="s">
        <v>27</v>
      </c>
      <c r="D58" s="10" t="s">
        <v>24</v>
      </c>
      <c r="E58" s="10" t="s">
        <v>25</v>
      </c>
      <c r="F58" s="10" t="s">
        <v>26</v>
      </c>
      <c r="G58" s="14">
        <v>2</v>
      </c>
    </row>
    <row r="59" spans="1:7" ht="15.6" x14ac:dyDescent="0.3">
      <c r="A59" s="13">
        <v>38.01</v>
      </c>
      <c r="B59" s="10">
        <v>3</v>
      </c>
      <c r="C59" s="10" t="s">
        <v>27</v>
      </c>
      <c r="D59" s="10" t="s">
        <v>29</v>
      </c>
      <c r="E59" s="10" t="s">
        <v>28</v>
      </c>
      <c r="F59" s="10" t="s">
        <v>26</v>
      </c>
      <c r="G59" s="14">
        <v>4</v>
      </c>
    </row>
    <row r="60" spans="1:7" ht="15.6" x14ac:dyDescent="0.3">
      <c r="A60" s="13">
        <v>26.41</v>
      </c>
      <c r="B60" s="10">
        <v>1.5</v>
      </c>
      <c r="C60" s="10" t="s">
        <v>23</v>
      </c>
      <c r="D60" s="10" t="s">
        <v>24</v>
      </c>
      <c r="E60" s="10" t="s">
        <v>28</v>
      </c>
      <c r="F60" s="10" t="s">
        <v>26</v>
      </c>
      <c r="G60" s="14">
        <v>2</v>
      </c>
    </row>
    <row r="61" spans="1:7" ht="15.6" x14ac:dyDescent="0.3">
      <c r="A61" s="13">
        <v>11.24</v>
      </c>
      <c r="B61" s="10">
        <v>1.76</v>
      </c>
      <c r="C61" s="10" t="s">
        <v>27</v>
      </c>
      <c r="D61" s="10" t="s">
        <v>29</v>
      </c>
      <c r="E61" s="10" t="s">
        <v>28</v>
      </c>
      <c r="F61" s="10" t="s">
        <v>26</v>
      </c>
      <c r="G61" s="14">
        <v>2</v>
      </c>
    </row>
    <row r="62" spans="1:7" ht="15.6" x14ac:dyDescent="0.3">
      <c r="A62" s="13">
        <v>48.27</v>
      </c>
      <c r="B62" s="10">
        <v>6.73</v>
      </c>
      <c r="C62" s="10" t="s">
        <v>27</v>
      </c>
      <c r="D62" s="10" t="s">
        <v>24</v>
      </c>
      <c r="E62" s="10" t="s">
        <v>28</v>
      </c>
      <c r="F62" s="10" t="s">
        <v>26</v>
      </c>
      <c r="G62" s="14">
        <v>4</v>
      </c>
    </row>
    <row r="63" spans="1:7" ht="15.6" x14ac:dyDescent="0.3">
      <c r="A63" s="13">
        <v>20.29</v>
      </c>
      <c r="B63" s="10">
        <v>3.21</v>
      </c>
      <c r="C63" s="10" t="s">
        <v>27</v>
      </c>
      <c r="D63" s="10" t="s">
        <v>29</v>
      </c>
      <c r="E63" s="10" t="s">
        <v>28</v>
      </c>
      <c r="F63" s="10" t="s">
        <v>26</v>
      </c>
      <c r="G63" s="14">
        <v>2</v>
      </c>
    </row>
    <row r="64" spans="1:7" ht="15.6" x14ac:dyDescent="0.3">
      <c r="A64" s="13">
        <v>13.81</v>
      </c>
      <c r="B64" s="10">
        <v>2</v>
      </c>
      <c r="C64" s="10" t="s">
        <v>27</v>
      </c>
      <c r="D64" s="10" t="s">
        <v>29</v>
      </c>
      <c r="E64" s="10" t="s">
        <v>28</v>
      </c>
      <c r="F64" s="10" t="s">
        <v>26</v>
      </c>
      <c r="G64" s="14">
        <v>2</v>
      </c>
    </row>
    <row r="65" spans="1:7" ht="15.6" x14ac:dyDescent="0.3">
      <c r="A65" s="13">
        <v>11.02</v>
      </c>
      <c r="B65" s="10">
        <v>1.98</v>
      </c>
      <c r="C65" s="10" t="s">
        <v>27</v>
      </c>
      <c r="D65" s="10" t="s">
        <v>29</v>
      </c>
      <c r="E65" s="10" t="s">
        <v>28</v>
      </c>
      <c r="F65" s="10" t="s">
        <v>26</v>
      </c>
      <c r="G65" s="14">
        <v>2</v>
      </c>
    </row>
    <row r="66" spans="1:7" ht="15.6" x14ac:dyDescent="0.3">
      <c r="A66" s="13">
        <v>18.29</v>
      </c>
      <c r="B66" s="10">
        <v>3.76</v>
      </c>
      <c r="C66" s="10" t="s">
        <v>27</v>
      </c>
      <c r="D66" s="10" t="s">
        <v>29</v>
      </c>
      <c r="E66" s="10" t="s">
        <v>28</v>
      </c>
      <c r="F66" s="10" t="s">
        <v>26</v>
      </c>
      <c r="G66" s="14">
        <v>4</v>
      </c>
    </row>
    <row r="67" spans="1:7" ht="15.6" x14ac:dyDescent="0.3">
      <c r="A67" s="13">
        <v>17.59</v>
      </c>
      <c r="B67" s="10">
        <v>2.64</v>
      </c>
      <c r="C67" s="10" t="s">
        <v>27</v>
      </c>
      <c r="D67" s="10" t="s">
        <v>24</v>
      </c>
      <c r="E67" s="10" t="s">
        <v>28</v>
      </c>
      <c r="F67" s="10" t="s">
        <v>26</v>
      </c>
      <c r="G67" s="14">
        <v>3</v>
      </c>
    </row>
    <row r="68" spans="1:7" ht="15.6" x14ac:dyDescent="0.3">
      <c r="A68" s="13">
        <v>20.079999999999998</v>
      </c>
      <c r="B68" s="10">
        <v>3.15</v>
      </c>
      <c r="C68" s="10" t="s">
        <v>27</v>
      </c>
      <c r="D68" s="10" t="s">
        <v>24</v>
      </c>
      <c r="E68" s="10" t="s">
        <v>28</v>
      </c>
      <c r="F68" s="10" t="s">
        <v>26</v>
      </c>
      <c r="G68" s="14">
        <v>3</v>
      </c>
    </row>
    <row r="69" spans="1:7" ht="15.6" x14ac:dyDescent="0.3">
      <c r="A69" s="13">
        <v>16.45</v>
      </c>
      <c r="B69" s="10">
        <v>2.4700000000000002</v>
      </c>
      <c r="C69" s="10" t="s">
        <v>23</v>
      </c>
      <c r="D69" s="10" t="s">
        <v>24</v>
      </c>
      <c r="E69" s="10" t="s">
        <v>28</v>
      </c>
      <c r="F69" s="10" t="s">
        <v>26</v>
      </c>
      <c r="G69" s="14">
        <v>2</v>
      </c>
    </row>
    <row r="70" spans="1:7" ht="15.6" x14ac:dyDescent="0.3">
      <c r="A70" s="13">
        <v>3.07</v>
      </c>
      <c r="B70" s="10">
        <v>1</v>
      </c>
      <c r="C70" s="10" t="s">
        <v>23</v>
      </c>
      <c r="D70" s="10" t="s">
        <v>29</v>
      </c>
      <c r="E70" s="10" t="s">
        <v>28</v>
      </c>
      <c r="F70" s="10" t="s">
        <v>26</v>
      </c>
      <c r="G70" s="14">
        <v>1</v>
      </c>
    </row>
    <row r="71" spans="1:7" ht="15.6" x14ac:dyDescent="0.3">
      <c r="A71" s="13">
        <v>20.23</v>
      </c>
      <c r="B71" s="10">
        <v>2.0099999999999998</v>
      </c>
      <c r="C71" s="10" t="s">
        <v>27</v>
      </c>
      <c r="D71" s="10" t="s">
        <v>24</v>
      </c>
      <c r="E71" s="10" t="s">
        <v>28</v>
      </c>
      <c r="F71" s="10" t="s">
        <v>26</v>
      </c>
      <c r="G71" s="14">
        <v>2</v>
      </c>
    </row>
    <row r="72" spans="1:7" ht="15.6" x14ac:dyDescent="0.3">
      <c r="A72" s="13">
        <v>15.01</v>
      </c>
      <c r="B72" s="10">
        <v>2.09</v>
      </c>
      <c r="C72" s="10" t="s">
        <v>27</v>
      </c>
      <c r="D72" s="10" t="s">
        <v>29</v>
      </c>
      <c r="E72" s="10" t="s">
        <v>28</v>
      </c>
      <c r="F72" s="10" t="s">
        <v>26</v>
      </c>
      <c r="G72" s="14">
        <v>2</v>
      </c>
    </row>
    <row r="73" spans="1:7" ht="15.6" x14ac:dyDescent="0.3">
      <c r="A73" s="13">
        <v>12.02</v>
      </c>
      <c r="B73" s="10">
        <v>1.97</v>
      </c>
      <c r="C73" s="10" t="s">
        <v>27</v>
      </c>
      <c r="D73" s="10" t="s">
        <v>24</v>
      </c>
      <c r="E73" s="10" t="s">
        <v>28</v>
      </c>
      <c r="F73" s="10" t="s">
        <v>26</v>
      </c>
      <c r="G73" s="14">
        <v>2</v>
      </c>
    </row>
    <row r="74" spans="1:7" ht="15.6" x14ac:dyDescent="0.3">
      <c r="A74" s="13">
        <v>17.07</v>
      </c>
      <c r="B74" s="10">
        <v>3</v>
      </c>
      <c r="C74" s="10" t="s">
        <v>23</v>
      </c>
      <c r="D74" s="10" t="s">
        <v>24</v>
      </c>
      <c r="E74" s="10" t="s">
        <v>28</v>
      </c>
      <c r="F74" s="10" t="s">
        <v>26</v>
      </c>
      <c r="G74" s="14">
        <v>3</v>
      </c>
    </row>
    <row r="75" spans="1:7" ht="15.6" x14ac:dyDescent="0.3">
      <c r="A75" s="13">
        <v>26.86</v>
      </c>
      <c r="B75" s="10">
        <v>3.14</v>
      </c>
      <c r="C75" s="10" t="s">
        <v>23</v>
      </c>
      <c r="D75" s="10" t="s">
        <v>29</v>
      </c>
      <c r="E75" s="10" t="s">
        <v>28</v>
      </c>
      <c r="F75" s="10" t="s">
        <v>26</v>
      </c>
      <c r="G75" s="14">
        <v>2</v>
      </c>
    </row>
    <row r="76" spans="1:7" ht="15.6" x14ac:dyDescent="0.3">
      <c r="A76" s="13">
        <v>25.28</v>
      </c>
      <c r="B76" s="10">
        <v>5</v>
      </c>
      <c r="C76" s="10" t="s">
        <v>23</v>
      </c>
      <c r="D76" s="10" t="s">
        <v>29</v>
      </c>
      <c r="E76" s="10" t="s">
        <v>28</v>
      </c>
      <c r="F76" s="10" t="s">
        <v>26</v>
      </c>
      <c r="G76" s="14">
        <v>2</v>
      </c>
    </row>
    <row r="77" spans="1:7" ht="15.6" x14ac:dyDescent="0.3">
      <c r="A77" s="13">
        <v>14.73</v>
      </c>
      <c r="B77" s="10">
        <v>2.2000000000000002</v>
      </c>
      <c r="C77" s="10" t="s">
        <v>23</v>
      </c>
      <c r="D77" s="10" t="s">
        <v>24</v>
      </c>
      <c r="E77" s="10" t="s">
        <v>28</v>
      </c>
      <c r="F77" s="10" t="s">
        <v>26</v>
      </c>
      <c r="G77" s="14">
        <v>2</v>
      </c>
    </row>
    <row r="78" spans="1:7" ht="15.6" x14ac:dyDescent="0.3">
      <c r="A78" s="13">
        <v>10.51</v>
      </c>
      <c r="B78" s="10">
        <v>1.25</v>
      </c>
      <c r="C78" s="10" t="s">
        <v>27</v>
      </c>
      <c r="D78" s="10" t="s">
        <v>24</v>
      </c>
      <c r="E78" s="10" t="s">
        <v>28</v>
      </c>
      <c r="F78" s="10" t="s">
        <v>26</v>
      </c>
      <c r="G78" s="14">
        <v>2</v>
      </c>
    </row>
    <row r="79" spans="1:7" ht="15.6" x14ac:dyDescent="0.3">
      <c r="A79" s="13">
        <v>17.920000000000002</v>
      </c>
      <c r="B79" s="10">
        <v>3.08</v>
      </c>
      <c r="C79" s="10" t="s">
        <v>27</v>
      </c>
      <c r="D79" s="10" t="s">
        <v>29</v>
      </c>
      <c r="E79" s="10" t="s">
        <v>28</v>
      </c>
      <c r="F79" s="10" t="s">
        <v>26</v>
      </c>
      <c r="G79" s="14">
        <v>2</v>
      </c>
    </row>
    <row r="80" spans="1:7" ht="15.6" x14ac:dyDescent="0.3">
      <c r="A80" s="13">
        <v>27.2</v>
      </c>
      <c r="B80" s="10">
        <v>4</v>
      </c>
      <c r="C80" s="10" t="s">
        <v>27</v>
      </c>
      <c r="D80" s="10" t="s">
        <v>24</v>
      </c>
      <c r="E80" s="10" t="s">
        <v>30</v>
      </c>
      <c r="F80" s="10" t="s">
        <v>31</v>
      </c>
      <c r="G80" s="14">
        <v>4</v>
      </c>
    </row>
    <row r="81" spans="1:7" ht="15.6" x14ac:dyDescent="0.3">
      <c r="A81" s="13">
        <v>22.76</v>
      </c>
      <c r="B81" s="10">
        <v>3</v>
      </c>
      <c r="C81" s="10" t="s">
        <v>27</v>
      </c>
      <c r="D81" s="10" t="s">
        <v>24</v>
      </c>
      <c r="E81" s="10" t="s">
        <v>30</v>
      </c>
      <c r="F81" s="10" t="s">
        <v>31</v>
      </c>
      <c r="G81" s="14">
        <v>2</v>
      </c>
    </row>
    <row r="82" spans="1:7" ht="15.6" x14ac:dyDescent="0.3">
      <c r="A82" s="13">
        <v>17.29</v>
      </c>
      <c r="B82" s="10">
        <v>2.71</v>
      </c>
      <c r="C82" s="10" t="s">
        <v>27</v>
      </c>
      <c r="D82" s="10" t="s">
        <v>24</v>
      </c>
      <c r="E82" s="10" t="s">
        <v>30</v>
      </c>
      <c r="F82" s="10" t="s">
        <v>31</v>
      </c>
      <c r="G82" s="14">
        <v>2</v>
      </c>
    </row>
    <row r="83" spans="1:7" ht="15.6" x14ac:dyDescent="0.3">
      <c r="A83" s="13">
        <v>19.440000000000001</v>
      </c>
      <c r="B83" s="10">
        <v>3</v>
      </c>
      <c r="C83" s="10" t="s">
        <v>27</v>
      </c>
      <c r="D83" s="10" t="s">
        <v>29</v>
      </c>
      <c r="E83" s="10" t="s">
        <v>30</v>
      </c>
      <c r="F83" s="10" t="s">
        <v>31</v>
      </c>
      <c r="G83" s="14">
        <v>2</v>
      </c>
    </row>
    <row r="84" spans="1:7" ht="15.6" x14ac:dyDescent="0.3">
      <c r="A84" s="13">
        <v>16.66</v>
      </c>
      <c r="B84" s="10">
        <v>3.4</v>
      </c>
      <c r="C84" s="10" t="s">
        <v>27</v>
      </c>
      <c r="D84" s="10" t="s">
        <v>24</v>
      </c>
      <c r="E84" s="10" t="s">
        <v>30</v>
      </c>
      <c r="F84" s="10" t="s">
        <v>31</v>
      </c>
      <c r="G84" s="14">
        <v>2</v>
      </c>
    </row>
    <row r="85" spans="1:7" ht="15.6" x14ac:dyDescent="0.3">
      <c r="A85" s="13">
        <v>10.07</v>
      </c>
      <c r="B85" s="10">
        <v>1.83</v>
      </c>
      <c r="C85" s="10" t="s">
        <v>23</v>
      </c>
      <c r="D85" s="10" t="s">
        <v>24</v>
      </c>
      <c r="E85" s="10" t="s">
        <v>30</v>
      </c>
      <c r="F85" s="10" t="s">
        <v>31</v>
      </c>
      <c r="G85" s="14">
        <v>1</v>
      </c>
    </row>
    <row r="86" spans="1:7" ht="15.6" x14ac:dyDescent="0.3">
      <c r="A86" s="13">
        <v>32.68</v>
      </c>
      <c r="B86" s="10">
        <v>5</v>
      </c>
      <c r="C86" s="10" t="s">
        <v>27</v>
      </c>
      <c r="D86" s="10" t="s">
        <v>29</v>
      </c>
      <c r="E86" s="10" t="s">
        <v>30</v>
      </c>
      <c r="F86" s="10" t="s">
        <v>31</v>
      </c>
      <c r="G86" s="14">
        <v>2</v>
      </c>
    </row>
    <row r="87" spans="1:7" ht="15.6" x14ac:dyDescent="0.3">
      <c r="A87" s="13">
        <v>15.98</v>
      </c>
      <c r="B87" s="10">
        <v>2.0299999999999998</v>
      </c>
      <c r="C87" s="10" t="s">
        <v>27</v>
      </c>
      <c r="D87" s="10" t="s">
        <v>24</v>
      </c>
      <c r="E87" s="10" t="s">
        <v>30</v>
      </c>
      <c r="F87" s="10" t="s">
        <v>31</v>
      </c>
      <c r="G87" s="14">
        <v>2</v>
      </c>
    </row>
    <row r="88" spans="1:7" ht="15.6" x14ac:dyDescent="0.3">
      <c r="A88" s="13">
        <v>34.83</v>
      </c>
      <c r="B88" s="10">
        <v>5.17</v>
      </c>
      <c r="C88" s="10" t="s">
        <v>23</v>
      </c>
      <c r="D88" s="10" t="s">
        <v>24</v>
      </c>
      <c r="E88" s="10" t="s">
        <v>30</v>
      </c>
      <c r="F88" s="10" t="s">
        <v>31</v>
      </c>
      <c r="G88" s="14">
        <v>4</v>
      </c>
    </row>
    <row r="89" spans="1:7" ht="15.6" x14ac:dyDescent="0.3">
      <c r="A89" s="13">
        <v>13.03</v>
      </c>
      <c r="B89" s="10">
        <v>2</v>
      </c>
      <c r="C89" s="10" t="s">
        <v>27</v>
      </c>
      <c r="D89" s="10" t="s">
        <v>24</v>
      </c>
      <c r="E89" s="10" t="s">
        <v>30</v>
      </c>
      <c r="F89" s="10" t="s">
        <v>31</v>
      </c>
      <c r="G89" s="14">
        <v>2</v>
      </c>
    </row>
    <row r="90" spans="1:7" ht="15.6" x14ac:dyDescent="0.3">
      <c r="A90" s="13">
        <v>18.28</v>
      </c>
      <c r="B90" s="10">
        <v>4</v>
      </c>
      <c r="C90" s="10" t="s">
        <v>27</v>
      </c>
      <c r="D90" s="10" t="s">
        <v>24</v>
      </c>
      <c r="E90" s="10" t="s">
        <v>30</v>
      </c>
      <c r="F90" s="10" t="s">
        <v>31</v>
      </c>
      <c r="G90" s="14">
        <v>2</v>
      </c>
    </row>
    <row r="91" spans="1:7" ht="15.6" x14ac:dyDescent="0.3">
      <c r="A91" s="13">
        <v>24.71</v>
      </c>
      <c r="B91" s="10">
        <v>5.85</v>
      </c>
      <c r="C91" s="10" t="s">
        <v>27</v>
      </c>
      <c r="D91" s="10" t="s">
        <v>24</v>
      </c>
      <c r="E91" s="10" t="s">
        <v>30</v>
      </c>
      <c r="F91" s="10" t="s">
        <v>31</v>
      </c>
      <c r="G91" s="14">
        <v>2</v>
      </c>
    </row>
    <row r="92" spans="1:7" ht="15.6" x14ac:dyDescent="0.3">
      <c r="A92" s="13">
        <v>21.16</v>
      </c>
      <c r="B92" s="10">
        <v>3</v>
      </c>
      <c r="C92" s="10" t="s">
        <v>27</v>
      </c>
      <c r="D92" s="10" t="s">
        <v>24</v>
      </c>
      <c r="E92" s="10" t="s">
        <v>30</v>
      </c>
      <c r="F92" s="10" t="s">
        <v>31</v>
      </c>
      <c r="G92" s="14">
        <v>2</v>
      </c>
    </row>
    <row r="93" spans="1:7" ht="15.6" x14ac:dyDescent="0.3">
      <c r="A93" s="13">
        <v>28.97</v>
      </c>
      <c r="B93" s="10">
        <v>3</v>
      </c>
      <c r="C93" s="10" t="s">
        <v>27</v>
      </c>
      <c r="D93" s="10" t="s">
        <v>29</v>
      </c>
      <c r="E93" s="10" t="s">
        <v>32</v>
      </c>
      <c r="F93" s="10" t="s">
        <v>26</v>
      </c>
      <c r="G93" s="14">
        <v>2</v>
      </c>
    </row>
    <row r="94" spans="1:7" ht="15.6" x14ac:dyDescent="0.3">
      <c r="A94" s="13">
        <v>22.49</v>
      </c>
      <c r="B94" s="10">
        <v>3.5</v>
      </c>
      <c r="C94" s="10" t="s">
        <v>27</v>
      </c>
      <c r="D94" s="10" t="s">
        <v>24</v>
      </c>
      <c r="E94" s="10" t="s">
        <v>32</v>
      </c>
      <c r="F94" s="10" t="s">
        <v>26</v>
      </c>
      <c r="G94" s="14">
        <v>2</v>
      </c>
    </row>
    <row r="95" spans="1:7" ht="15.6" x14ac:dyDescent="0.3">
      <c r="A95" s="13">
        <v>5.75</v>
      </c>
      <c r="B95" s="10">
        <v>1</v>
      </c>
      <c r="C95" s="10" t="s">
        <v>23</v>
      </c>
      <c r="D95" s="10" t="s">
        <v>29</v>
      </c>
      <c r="E95" s="10" t="s">
        <v>32</v>
      </c>
      <c r="F95" s="10" t="s">
        <v>26</v>
      </c>
      <c r="G95" s="14">
        <v>2</v>
      </c>
    </row>
    <row r="96" spans="1:7" ht="15.6" x14ac:dyDescent="0.3">
      <c r="A96" s="13">
        <v>16.32</v>
      </c>
      <c r="B96" s="10">
        <v>4.3</v>
      </c>
      <c r="C96" s="10" t="s">
        <v>23</v>
      </c>
      <c r="D96" s="10" t="s">
        <v>29</v>
      </c>
      <c r="E96" s="10" t="s">
        <v>32</v>
      </c>
      <c r="F96" s="10" t="s">
        <v>26</v>
      </c>
      <c r="G96" s="14">
        <v>2</v>
      </c>
    </row>
    <row r="97" spans="1:7" ht="15.6" x14ac:dyDescent="0.3">
      <c r="A97" s="13">
        <v>22.75</v>
      </c>
      <c r="B97" s="10">
        <v>3.25</v>
      </c>
      <c r="C97" s="10" t="s">
        <v>23</v>
      </c>
      <c r="D97" s="10" t="s">
        <v>24</v>
      </c>
      <c r="E97" s="10" t="s">
        <v>32</v>
      </c>
      <c r="F97" s="10" t="s">
        <v>26</v>
      </c>
      <c r="G97" s="14">
        <v>2</v>
      </c>
    </row>
    <row r="98" spans="1:7" ht="15.6" x14ac:dyDescent="0.3">
      <c r="A98" s="13">
        <v>40.17</v>
      </c>
      <c r="B98" s="10">
        <v>4.7300000000000004</v>
      </c>
      <c r="C98" s="10" t="s">
        <v>27</v>
      </c>
      <c r="D98" s="10" t="s">
        <v>29</v>
      </c>
      <c r="E98" s="10" t="s">
        <v>32</v>
      </c>
      <c r="F98" s="10" t="s">
        <v>26</v>
      </c>
      <c r="G98" s="14">
        <v>4</v>
      </c>
    </row>
    <row r="99" spans="1:7" ht="15.6" x14ac:dyDescent="0.3">
      <c r="A99" s="13">
        <v>27.28</v>
      </c>
      <c r="B99" s="10">
        <v>4</v>
      </c>
      <c r="C99" s="10" t="s">
        <v>27</v>
      </c>
      <c r="D99" s="10" t="s">
        <v>29</v>
      </c>
      <c r="E99" s="10" t="s">
        <v>32</v>
      </c>
      <c r="F99" s="10" t="s">
        <v>26</v>
      </c>
      <c r="G99" s="14">
        <v>2</v>
      </c>
    </row>
    <row r="100" spans="1:7" ht="15.6" x14ac:dyDescent="0.3">
      <c r="A100" s="13">
        <v>12.03</v>
      </c>
      <c r="B100" s="10">
        <v>1.5</v>
      </c>
      <c r="C100" s="10" t="s">
        <v>27</v>
      </c>
      <c r="D100" s="10" t="s">
        <v>29</v>
      </c>
      <c r="E100" s="10" t="s">
        <v>32</v>
      </c>
      <c r="F100" s="10" t="s">
        <v>26</v>
      </c>
      <c r="G100" s="14">
        <v>2</v>
      </c>
    </row>
    <row r="101" spans="1:7" ht="15.6" x14ac:dyDescent="0.3">
      <c r="A101" s="13">
        <v>21.01</v>
      </c>
      <c r="B101" s="10">
        <v>3</v>
      </c>
      <c r="C101" s="10" t="s">
        <v>27</v>
      </c>
      <c r="D101" s="10" t="s">
        <v>29</v>
      </c>
      <c r="E101" s="10" t="s">
        <v>32</v>
      </c>
      <c r="F101" s="10" t="s">
        <v>26</v>
      </c>
      <c r="G101" s="14">
        <v>2</v>
      </c>
    </row>
    <row r="102" spans="1:7" ht="15.6" x14ac:dyDescent="0.3">
      <c r="A102" s="13">
        <v>12.46</v>
      </c>
      <c r="B102" s="10">
        <v>1.5</v>
      </c>
      <c r="C102" s="10" t="s">
        <v>27</v>
      </c>
      <c r="D102" s="10" t="s">
        <v>24</v>
      </c>
      <c r="E102" s="10" t="s">
        <v>32</v>
      </c>
      <c r="F102" s="10" t="s">
        <v>26</v>
      </c>
      <c r="G102" s="14">
        <v>2</v>
      </c>
    </row>
    <row r="103" spans="1:7" ht="15.6" x14ac:dyDescent="0.3">
      <c r="A103" s="13">
        <v>11.35</v>
      </c>
      <c r="B103" s="10">
        <v>2.5</v>
      </c>
      <c r="C103" s="10" t="s">
        <v>23</v>
      </c>
      <c r="D103" s="10" t="s">
        <v>29</v>
      </c>
      <c r="E103" s="10" t="s">
        <v>32</v>
      </c>
      <c r="F103" s="10" t="s">
        <v>26</v>
      </c>
      <c r="G103" s="14">
        <v>2</v>
      </c>
    </row>
    <row r="104" spans="1:7" ht="15.6" x14ac:dyDescent="0.3">
      <c r="A104" s="13">
        <v>15.38</v>
      </c>
      <c r="B104" s="10">
        <v>3</v>
      </c>
      <c r="C104" s="10" t="s">
        <v>23</v>
      </c>
      <c r="D104" s="10" t="s">
        <v>29</v>
      </c>
      <c r="E104" s="10" t="s">
        <v>32</v>
      </c>
      <c r="F104" s="10" t="s">
        <v>26</v>
      </c>
      <c r="G104" s="14">
        <v>2</v>
      </c>
    </row>
    <row r="105" spans="1:7" ht="15.6" x14ac:dyDescent="0.3">
      <c r="A105" s="13">
        <v>44.3</v>
      </c>
      <c r="B105" s="10">
        <v>2.5</v>
      </c>
      <c r="C105" s="10" t="s">
        <v>23</v>
      </c>
      <c r="D105" s="10" t="s">
        <v>29</v>
      </c>
      <c r="E105" s="10" t="s">
        <v>28</v>
      </c>
      <c r="F105" s="10" t="s">
        <v>26</v>
      </c>
      <c r="G105" s="14">
        <v>3</v>
      </c>
    </row>
    <row r="106" spans="1:7" ht="15.6" x14ac:dyDescent="0.3">
      <c r="A106" s="13">
        <v>22.42</v>
      </c>
      <c r="B106" s="10">
        <v>3.48</v>
      </c>
      <c r="C106" s="10" t="s">
        <v>23</v>
      </c>
      <c r="D106" s="10" t="s">
        <v>29</v>
      </c>
      <c r="E106" s="10" t="s">
        <v>28</v>
      </c>
      <c r="F106" s="10" t="s">
        <v>26</v>
      </c>
      <c r="G106" s="14">
        <v>2</v>
      </c>
    </row>
    <row r="107" spans="1:7" ht="15.6" x14ac:dyDescent="0.3">
      <c r="A107" s="13">
        <v>20.92</v>
      </c>
      <c r="B107" s="10">
        <v>4.08</v>
      </c>
      <c r="C107" s="10" t="s">
        <v>23</v>
      </c>
      <c r="D107" s="10" t="s">
        <v>24</v>
      </c>
      <c r="E107" s="10" t="s">
        <v>28</v>
      </c>
      <c r="F107" s="10" t="s">
        <v>26</v>
      </c>
      <c r="G107" s="14">
        <v>2</v>
      </c>
    </row>
    <row r="108" spans="1:7" ht="15.6" x14ac:dyDescent="0.3">
      <c r="A108" s="13">
        <v>15.36</v>
      </c>
      <c r="B108" s="10">
        <v>1.64</v>
      </c>
      <c r="C108" s="10" t="s">
        <v>27</v>
      </c>
      <c r="D108" s="10" t="s">
        <v>29</v>
      </c>
      <c r="E108" s="10" t="s">
        <v>28</v>
      </c>
      <c r="F108" s="10" t="s">
        <v>26</v>
      </c>
      <c r="G108" s="14">
        <v>2</v>
      </c>
    </row>
    <row r="109" spans="1:7" ht="15.6" x14ac:dyDescent="0.3">
      <c r="A109" s="13">
        <v>20.49</v>
      </c>
      <c r="B109" s="10">
        <v>4.0599999999999996</v>
      </c>
      <c r="C109" s="10" t="s">
        <v>27</v>
      </c>
      <c r="D109" s="10" t="s">
        <v>29</v>
      </c>
      <c r="E109" s="10" t="s">
        <v>28</v>
      </c>
      <c r="F109" s="10" t="s">
        <v>26</v>
      </c>
      <c r="G109" s="14">
        <v>2</v>
      </c>
    </row>
    <row r="110" spans="1:7" ht="15.6" x14ac:dyDescent="0.3">
      <c r="A110" s="13">
        <v>25.21</v>
      </c>
      <c r="B110" s="10">
        <v>4.29</v>
      </c>
      <c r="C110" s="10" t="s">
        <v>27</v>
      </c>
      <c r="D110" s="10" t="s">
        <v>29</v>
      </c>
      <c r="E110" s="10" t="s">
        <v>28</v>
      </c>
      <c r="F110" s="10" t="s">
        <v>26</v>
      </c>
      <c r="G110" s="14">
        <v>2</v>
      </c>
    </row>
    <row r="111" spans="1:7" ht="15.6" x14ac:dyDescent="0.3">
      <c r="A111" s="13">
        <v>18.239999999999998</v>
      </c>
      <c r="B111" s="10">
        <v>3.76</v>
      </c>
      <c r="C111" s="10" t="s">
        <v>27</v>
      </c>
      <c r="D111" s="10" t="s">
        <v>24</v>
      </c>
      <c r="E111" s="10" t="s">
        <v>28</v>
      </c>
      <c r="F111" s="10" t="s">
        <v>26</v>
      </c>
      <c r="G111" s="14">
        <v>2</v>
      </c>
    </row>
    <row r="112" spans="1:7" ht="15.6" x14ac:dyDescent="0.3">
      <c r="A112" s="13">
        <v>14.31</v>
      </c>
      <c r="B112" s="10">
        <v>4</v>
      </c>
      <c r="C112" s="10" t="s">
        <v>23</v>
      </c>
      <c r="D112" s="10" t="s">
        <v>29</v>
      </c>
      <c r="E112" s="10" t="s">
        <v>28</v>
      </c>
      <c r="F112" s="10" t="s">
        <v>26</v>
      </c>
      <c r="G112" s="14">
        <v>2</v>
      </c>
    </row>
    <row r="113" spans="1:7" ht="15.6" x14ac:dyDescent="0.3">
      <c r="A113" s="13">
        <v>14</v>
      </c>
      <c r="B113" s="10">
        <v>3</v>
      </c>
      <c r="C113" s="10" t="s">
        <v>27</v>
      </c>
      <c r="D113" s="10" t="s">
        <v>24</v>
      </c>
      <c r="E113" s="10" t="s">
        <v>28</v>
      </c>
      <c r="F113" s="10" t="s">
        <v>26</v>
      </c>
      <c r="G113" s="14">
        <v>2</v>
      </c>
    </row>
    <row r="114" spans="1:7" ht="15.6" x14ac:dyDescent="0.3">
      <c r="A114" s="13">
        <v>7.25</v>
      </c>
      <c r="B114" s="10">
        <v>1</v>
      </c>
      <c r="C114" s="10" t="s">
        <v>23</v>
      </c>
      <c r="D114" s="10" t="s">
        <v>24</v>
      </c>
      <c r="E114" s="10" t="s">
        <v>28</v>
      </c>
      <c r="F114" s="10" t="s">
        <v>26</v>
      </c>
      <c r="G114" s="14">
        <v>1</v>
      </c>
    </row>
    <row r="115" spans="1:7" ht="15.6" x14ac:dyDescent="0.3">
      <c r="A115" s="13">
        <v>38.07</v>
      </c>
      <c r="B115" s="10">
        <v>4</v>
      </c>
      <c r="C115" s="10" t="s">
        <v>27</v>
      </c>
      <c r="D115" s="10" t="s">
        <v>24</v>
      </c>
      <c r="E115" s="10" t="s">
        <v>25</v>
      </c>
      <c r="F115" s="10" t="s">
        <v>26</v>
      </c>
      <c r="G115" s="14">
        <v>3</v>
      </c>
    </row>
    <row r="116" spans="1:7" ht="15.6" x14ac:dyDescent="0.3">
      <c r="A116" s="13">
        <v>23.95</v>
      </c>
      <c r="B116" s="10">
        <v>2.5499999999999998</v>
      </c>
      <c r="C116" s="10" t="s">
        <v>27</v>
      </c>
      <c r="D116" s="10" t="s">
        <v>24</v>
      </c>
      <c r="E116" s="10" t="s">
        <v>25</v>
      </c>
      <c r="F116" s="10" t="s">
        <v>26</v>
      </c>
      <c r="G116" s="14">
        <v>2</v>
      </c>
    </row>
    <row r="117" spans="1:7" ht="15.6" x14ac:dyDescent="0.3">
      <c r="A117" s="13">
        <v>25.71</v>
      </c>
      <c r="B117" s="10">
        <v>4</v>
      </c>
      <c r="C117" s="10" t="s">
        <v>23</v>
      </c>
      <c r="D117" s="10" t="s">
        <v>24</v>
      </c>
      <c r="E117" s="10" t="s">
        <v>25</v>
      </c>
      <c r="F117" s="10" t="s">
        <v>26</v>
      </c>
      <c r="G117" s="14">
        <v>3</v>
      </c>
    </row>
    <row r="118" spans="1:7" ht="15.6" x14ac:dyDescent="0.3">
      <c r="A118" s="13">
        <v>17.309999999999999</v>
      </c>
      <c r="B118" s="10">
        <v>3.5</v>
      </c>
      <c r="C118" s="10" t="s">
        <v>23</v>
      </c>
      <c r="D118" s="10" t="s">
        <v>24</v>
      </c>
      <c r="E118" s="10" t="s">
        <v>25</v>
      </c>
      <c r="F118" s="10" t="s">
        <v>26</v>
      </c>
      <c r="G118" s="14">
        <v>2</v>
      </c>
    </row>
    <row r="119" spans="1:7" ht="15.6" x14ac:dyDescent="0.3">
      <c r="A119" s="13">
        <v>29.93</v>
      </c>
      <c r="B119" s="10">
        <v>5.07</v>
      </c>
      <c r="C119" s="10" t="s">
        <v>27</v>
      </c>
      <c r="D119" s="10" t="s">
        <v>24</v>
      </c>
      <c r="E119" s="10" t="s">
        <v>25</v>
      </c>
      <c r="F119" s="10" t="s">
        <v>26</v>
      </c>
      <c r="G119" s="14">
        <v>4</v>
      </c>
    </row>
    <row r="120" spans="1:7" ht="15.6" x14ac:dyDescent="0.3">
      <c r="A120" s="13">
        <v>10.65</v>
      </c>
      <c r="B120" s="10">
        <v>1.5</v>
      </c>
      <c r="C120" s="10" t="s">
        <v>23</v>
      </c>
      <c r="D120" s="10" t="s">
        <v>24</v>
      </c>
      <c r="E120" s="10" t="s">
        <v>30</v>
      </c>
      <c r="F120" s="10" t="s">
        <v>31</v>
      </c>
      <c r="G120" s="14">
        <v>2</v>
      </c>
    </row>
    <row r="121" spans="1:7" ht="15.6" x14ac:dyDescent="0.3">
      <c r="A121" s="13">
        <v>12.43</v>
      </c>
      <c r="B121" s="10">
        <v>1.8</v>
      </c>
      <c r="C121" s="10" t="s">
        <v>23</v>
      </c>
      <c r="D121" s="10" t="s">
        <v>24</v>
      </c>
      <c r="E121" s="10" t="s">
        <v>30</v>
      </c>
      <c r="F121" s="10" t="s">
        <v>31</v>
      </c>
      <c r="G121" s="14">
        <v>2</v>
      </c>
    </row>
    <row r="122" spans="1:7" ht="15.6" x14ac:dyDescent="0.3">
      <c r="A122" s="13">
        <v>24.08</v>
      </c>
      <c r="B122" s="10">
        <v>2.92</v>
      </c>
      <c r="C122" s="10" t="s">
        <v>23</v>
      </c>
      <c r="D122" s="10" t="s">
        <v>24</v>
      </c>
      <c r="E122" s="10" t="s">
        <v>30</v>
      </c>
      <c r="F122" s="10" t="s">
        <v>31</v>
      </c>
      <c r="G122" s="14">
        <v>4</v>
      </c>
    </row>
    <row r="123" spans="1:7" ht="15.6" x14ac:dyDescent="0.3">
      <c r="A123" s="13">
        <v>11.69</v>
      </c>
      <c r="B123" s="10">
        <v>2.31</v>
      </c>
      <c r="C123" s="10" t="s">
        <v>27</v>
      </c>
      <c r="D123" s="10" t="s">
        <v>24</v>
      </c>
      <c r="E123" s="10" t="s">
        <v>30</v>
      </c>
      <c r="F123" s="10" t="s">
        <v>31</v>
      </c>
      <c r="G123" s="14">
        <v>2</v>
      </c>
    </row>
    <row r="124" spans="1:7" ht="15.6" x14ac:dyDescent="0.3">
      <c r="A124" s="13">
        <v>13.42</v>
      </c>
      <c r="B124" s="10">
        <v>1.68</v>
      </c>
      <c r="C124" s="10" t="s">
        <v>23</v>
      </c>
      <c r="D124" s="10" t="s">
        <v>24</v>
      </c>
      <c r="E124" s="10" t="s">
        <v>30</v>
      </c>
      <c r="F124" s="10" t="s">
        <v>31</v>
      </c>
      <c r="G124" s="14">
        <v>2</v>
      </c>
    </row>
    <row r="125" spans="1:7" ht="15.6" x14ac:dyDescent="0.3">
      <c r="A125" s="13">
        <v>14.26</v>
      </c>
      <c r="B125" s="10">
        <v>2.5</v>
      </c>
      <c r="C125" s="10" t="s">
        <v>27</v>
      </c>
      <c r="D125" s="10" t="s">
        <v>24</v>
      </c>
      <c r="E125" s="10" t="s">
        <v>30</v>
      </c>
      <c r="F125" s="10" t="s">
        <v>31</v>
      </c>
      <c r="G125" s="14">
        <v>2</v>
      </c>
    </row>
    <row r="126" spans="1:7" ht="15.6" x14ac:dyDescent="0.3">
      <c r="A126" s="13">
        <v>15.95</v>
      </c>
      <c r="B126" s="10">
        <v>2</v>
      </c>
      <c r="C126" s="10" t="s">
        <v>27</v>
      </c>
      <c r="D126" s="10" t="s">
        <v>24</v>
      </c>
      <c r="E126" s="10" t="s">
        <v>30</v>
      </c>
      <c r="F126" s="10" t="s">
        <v>31</v>
      </c>
      <c r="G126" s="14">
        <v>2</v>
      </c>
    </row>
    <row r="127" spans="1:7" ht="15.6" x14ac:dyDescent="0.3">
      <c r="A127" s="13">
        <v>12.48</v>
      </c>
      <c r="B127" s="10">
        <v>2.52</v>
      </c>
      <c r="C127" s="10" t="s">
        <v>23</v>
      </c>
      <c r="D127" s="10" t="s">
        <v>24</v>
      </c>
      <c r="E127" s="10" t="s">
        <v>30</v>
      </c>
      <c r="F127" s="10" t="s">
        <v>31</v>
      </c>
      <c r="G127" s="14">
        <v>2</v>
      </c>
    </row>
    <row r="128" spans="1:7" ht="15.6" x14ac:dyDescent="0.3">
      <c r="A128" s="13">
        <v>29.8</v>
      </c>
      <c r="B128" s="10">
        <v>4.2</v>
      </c>
      <c r="C128" s="10" t="s">
        <v>23</v>
      </c>
      <c r="D128" s="10" t="s">
        <v>24</v>
      </c>
      <c r="E128" s="10" t="s">
        <v>30</v>
      </c>
      <c r="F128" s="10" t="s">
        <v>31</v>
      </c>
      <c r="G128" s="14">
        <v>6</v>
      </c>
    </row>
    <row r="129" spans="1:7" ht="15.6" x14ac:dyDescent="0.3">
      <c r="A129" s="13">
        <v>8.52</v>
      </c>
      <c r="B129" s="10">
        <v>1.48</v>
      </c>
      <c r="C129" s="10" t="s">
        <v>27</v>
      </c>
      <c r="D129" s="10" t="s">
        <v>24</v>
      </c>
      <c r="E129" s="10" t="s">
        <v>30</v>
      </c>
      <c r="F129" s="10" t="s">
        <v>31</v>
      </c>
      <c r="G129" s="14">
        <v>2</v>
      </c>
    </row>
    <row r="130" spans="1:7" ht="15.6" x14ac:dyDescent="0.3">
      <c r="A130" s="13">
        <v>14.52</v>
      </c>
      <c r="B130" s="10">
        <v>2</v>
      </c>
      <c r="C130" s="10" t="s">
        <v>23</v>
      </c>
      <c r="D130" s="10" t="s">
        <v>24</v>
      </c>
      <c r="E130" s="10" t="s">
        <v>30</v>
      </c>
      <c r="F130" s="10" t="s">
        <v>31</v>
      </c>
      <c r="G130" s="14">
        <v>2</v>
      </c>
    </row>
    <row r="131" spans="1:7" ht="15.6" x14ac:dyDescent="0.3">
      <c r="A131" s="13">
        <v>11.38</v>
      </c>
      <c r="B131" s="10">
        <v>2</v>
      </c>
      <c r="C131" s="10" t="s">
        <v>23</v>
      </c>
      <c r="D131" s="10" t="s">
        <v>24</v>
      </c>
      <c r="E131" s="10" t="s">
        <v>30</v>
      </c>
      <c r="F131" s="10" t="s">
        <v>31</v>
      </c>
      <c r="G131" s="14">
        <v>2</v>
      </c>
    </row>
    <row r="132" spans="1:7" ht="15.6" x14ac:dyDescent="0.3">
      <c r="A132" s="13">
        <v>22.82</v>
      </c>
      <c r="B132" s="10">
        <v>2.1800000000000002</v>
      </c>
      <c r="C132" s="10" t="s">
        <v>27</v>
      </c>
      <c r="D132" s="10" t="s">
        <v>24</v>
      </c>
      <c r="E132" s="10" t="s">
        <v>30</v>
      </c>
      <c r="F132" s="10" t="s">
        <v>31</v>
      </c>
      <c r="G132" s="14">
        <v>3</v>
      </c>
    </row>
    <row r="133" spans="1:7" ht="15.6" x14ac:dyDescent="0.3">
      <c r="A133" s="13">
        <v>19.079999999999998</v>
      </c>
      <c r="B133" s="10">
        <v>1.5</v>
      </c>
      <c r="C133" s="10" t="s">
        <v>27</v>
      </c>
      <c r="D133" s="10" t="s">
        <v>24</v>
      </c>
      <c r="E133" s="10" t="s">
        <v>30</v>
      </c>
      <c r="F133" s="10" t="s">
        <v>31</v>
      </c>
      <c r="G133" s="14">
        <v>2</v>
      </c>
    </row>
    <row r="134" spans="1:7" ht="15.6" x14ac:dyDescent="0.3">
      <c r="A134" s="13">
        <v>20.27</v>
      </c>
      <c r="B134" s="10">
        <v>2.83</v>
      </c>
      <c r="C134" s="10" t="s">
        <v>23</v>
      </c>
      <c r="D134" s="10" t="s">
        <v>24</v>
      </c>
      <c r="E134" s="10" t="s">
        <v>30</v>
      </c>
      <c r="F134" s="10" t="s">
        <v>31</v>
      </c>
      <c r="G134" s="14">
        <v>2</v>
      </c>
    </row>
    <row r="135" spans="1:7" ht="15.6" x14ac:dyDescent="0.3">
      <c r="A135" s="13">
        <v>11.17</v>
      </c>
      <c r="B135" s="10">
        <v>1.5</v>
      </c>
      <c r="C135" s="10" t="s">
        <v>23</v>
      </c>
      <c r="D135" s="10" t="s">
        <v>24</v>
      </c>
      <c r="E135" s="10" t="s">
        <v>30</v>
      </c>
      <c r="F135" s="10" t="s">
        <v>31</v>
      </c>
      <c r="G135" s="14">
        <v>2</v>
      </c>
    </row>
    <row r="136" spans="1:7" ht="15.6" x14ac:dyDescent="0.3">
      <c r="A136" s="13">
        <v>12.26</v>
      </c>
      <c r="B136" s="10">
        <v>2</v>
      </c>
      <c r="C136" s="10" t="s">
        <v>23</v>
      </c>
      <c r="D136" s="10" t="s">
        <v>24</v>
      </c>
      <c r="E136" s="10" t="s">
        <v>30</v>
      </c>
      <c r="F136" s="10" t="s">
        <v>31</v>
      </c>
      <c r="G136" s="14">
        <v>2</v>
      </c>
    </row>
    <row r="137" spans="1:7" ht="15.6" x14ac:dyDescent="0.3">
      <c r="A137" s="13">
        <v>18.260000000000002</v>
      </c>
      <c r="B137" s="10">
        <v>3.25</v>
      </c>
      <c r="C137" s="10" t="s">
        <v>23</v>
      </c>
      <c r="D137" s="10" t="s">
        <v>24</v>
      </c>
      <c r="E137" s="10" t="s">
        <v>30</v>
      </c>
      <c r="F137" s="10" t="s">
        <v>31</v>
      </c>
      <c r="G137" s="14">
        <v>2</v>
      </c>
    </row>
    <row r="138" spans="1:7" ht="15.6" x14ac:dyDescent="0.3">
      <c r="A138" s="13">
        <v>8.51</v>
      </c>
      <c r="B138" s="10">
        <v>1.25</v>
      </c>
      <c r="C138" s="10" t="s">
        <v>23</v>
      </c>
      <c r="D138" s="10" t="s">
        <v>24</v>
      </c>
      <c r="E138" s="10" t="s">
        <v>30</v>
      </c>
      <c r="F138" s="10" t="s">
        <v>31</v>
      </c>
      <c r="G138" s="14">
        <v>2</v>
      </c>
    </row>
    <row r="139" spans="1:7" ht="15.6" x14ac:dyDescent="0.3">
      <c r="A139" s="13">
        <v>10.33</v>
      </c>
      <c r="B139" s="10">
        <v>2</v>
      </c>
      <c r="C139" s="10" t="s">
        <v>23</v>
      </c>
      <c r="D139" s="10" t="s">
        <v>24</v>
      </c>
      <c r="E139" s="10" t="s">
        <v>30</v>
      </c>
      <c r="F139" s="10" t="s">
        <v>31</v>
      </c>
      <c r="G139" s="14">
        <v>2</v>
      </c>
    </row>
    <row r="140" spans="1:7" ht="15.6" x14ac:dyDescent="0.3">
      <c r="A140" s="13">
        <v>14.15</v>
      </c>
      <c r="B140" s="10">
        <v>2</v>
      </c>
      <c r="C140" s="10" t="s">
        <v>23</v>
      </c>
      <c r="D140" s="10" t="s">
        <v>24</v>
      </c>
      <c r="E140" s="10" t="s">
        <v>30</v>
      </c>
      <c r="F140" s="10" t="s">
        <v>31</v>
      </c>
      <c r="G140" s="14">
        <v>2</v>
      </c>
    </row>
    <row r="141" spans="1:7" ht="15.6" x14ac:dyDescent="0.3">
      <c r="A141" s="13">
        <v>16</v>
      </c>
      <c r="B141" s="10">
        <v>2</v>
      </c>
      <c r="C141" s="10" t="s">
        <v>27</v>
      </c>
      <c r="D141" s="10" t="s">
        <v>29</v>
      </c>
      <c r="E141" s="10" t="s">
        <v>30</v>
      </c>
      <c r="F141" s="10" t="s">
        <v>31</v>
      </c>
      <c r="G141" s="14">
        <v>2</v>
      </c>
    </row>
    <row r="142" spans="1:7" ht="15.6" x14ac:dyDescent="0.3">
      <c r="A142" s="13">
        <v>13.16</v>
      </c>
      <c r="B142" s="10">
        <v>2.75</v>
      </c>
      <c r="C142" s="10" t="s">
        <v>23</v>
      </c>
      <c r="D142" s="10" t="s">
        <v>24</v>
      </c>
      <c r="E142" s="10" t="s">
        <v>30</v>
      </c>
      <c r="F142" s="10" t="s">
        <v>31</v>
      </c>
      <c r="G142" s="14">
        <v>2</v>
      </c>
    </row>
    <row r="143" spans="1:7" ht="15.6" x14ac:dyDescent="0.3">
      <c r="A143" s="13">
        <v>17.47</v>
      </c>
      <c r="B143" s="10">
        <v>3.5</v>
      </c>
      <c r="C143" s="10" t="s">
        <v>23</v>
      </c>
      <c r="D143" s="10" t="s">
        <v>24</v>
      </c>
      <c r="E143" s="10" t="s">
        <v>30</v>
      </c>
      <c r="F143" s="10" t="s">
        <v>31</v>
      </c>
      <c r="G143" s="14">
        <v>2</v>
      </c>
    </row>
    <row r="144" spans="1:7" ht="15.6" x14ac:dyDescent="0.3">
      <c r="A144" s="13">
        <v>34.299999999999997</v>
      </c>
      <c r="B144" s="10">
        <v>6.7</v>
      </c>
      <c r="C144" s="10" t="s">
        <v>27</v>
      </c>
      <c r="D144" s="10" t="s">
        <v>24</v>
      </c>
      <c r="E144" s="10" t="s">
        <v>30</v>
      </c>
      <c r="F144" s="10" t="s">
        <v>31</v>
      </c>
      <c r="G144" s="14">
        <v>6</v>
      </c>
    </row>
    <row r="145" spans="1:7" ht="15.6" x14ac:dyDescent="0.3">
      <c r="A145" s="13">
        <v>41.19</v>
      </c>
      <c r="B145" s="10">
        <v>5</v>
      </c>
      <c r="C145" s="10" t="s">
        <v>27</v>
      </c>
      <c r="D145" s="10" t="s">
        <v>24</v>
      </c>
      <c r="E145" s="10" t="s">
        <v>30</v>
      </c>
      <c r="F145" s="10" t="s">
        <v>31</v>
      </c>
      <c r="G145" s="14">
        <v>5</v>
      </c>
    </row>
    <row r="146" spans="1:7" ht="15.6" x14ac:dyDescent="0.3">
      <c r="A146" s="13">
        <v>27.05</v>
      </c>
      <c r="B146" s="10">
        <v>5</v>
      </c>
      <c r="C146" s="10" t="s">
        <v>23</v>
      </c>
      <c r="D146" s="10" t="s">
        <v>24</v>
      </c>
      <c r="E146" s="10" t="s">
        <v>30</v>
      </c>
      <c r="F146" s="10" t="s">
        <v>31</v>
      </c>
      <c r="G146" s="14">
        <v>6</v>
      </c>
    </row>
    <row r="147" spans="1:7" ht="15.6" x14ac:dyDescent="0.3">
      <c r="A147" s="13">
        <v>16.43</v>
      </c>
      <c r="B147" s="10">
        <v>2.2999999999999998</v>
      </c>
      <c r="C147" s="10" t="s">
        <v>23</v>
      </c>
      <c r="D147" s="10" t="s">
        <v>24</v>
      </c>
      <c r="E147" s="10" t="s">
        <v>30</v>
      </c>
      <c r="F147" s="10" t="s">
        <v>31</v>
      </c>
      <c r="G147" s="14">
        <v>2</v>
      </c>
    </row>
    <row r="148" spans="1:7" ht="15.6" x14ac:dyDescent="0.3">
      <c r="A148" s="13">
        <v>8.35</v>
      </c>
      <c r="B148" s="10">
        <v>1.5</v>
      </c>
      <c r="C148" s="10" t="s">
        <v>23</v>
      </c>
      <c r="D148" s="10" t="s">
        <v>24</v>
      </c>
      <c r="E148" s="10" t="s">
        <v>30</v>
      </c>
      <c r="F148" s="10" t="s">
        <v>31</v>
      </c>
      <c r="G148" s="14">
        <v>2</v>
      </c>
    </row>
    <row r="149" spans="1:7" ht="15.6" x14ac:dyDescent="0.3">
      <c r="A149" s="13">
        <v>18.64</v>
      </c>
      <c r="B149" s="10">
        <v>1.36</v>
      </c>
      <c r="C149" s="10" t="s">
        <v>23</v>
      </c>
      <c r="D149" s="10" t="s">
        <v>24</v>
      </c>
      <c r="E149" s="10" t="s">
        <v>30</v>
      </c>
      <c r="F149" s="10" t="s">
        <v>31</v>
      </c>
      <c r="G149" s="14">
        <v>3</v>
      </c>
    </row>
    <row r="150" spans="1:7" ht="15.6" x14ac:dyDescent="0.3">
      <c r="A150" s="13">
        <v>11.87</v>
      </c>
      <c r="B150" s="10">
        <v>1.63</v>
      </c>
      <c r="C150" s="10" t="s">
        <v>23</v>
      </c>
      <c r="D150" s="10" t="s">
        <v>24</v>
      </c>
      <c r="E150" s="10" t="s">
        <v>30</v>
      </c>
      <c r="F150" s="10" t="s">
        <v>31</v>
      </c>
      <c r="G150" s="14">
        <v>2</v>
      </c>
    </row>
    <row r="151" spans="1:7" ht="15.6" x14ac:dyDescent="0.3">
      <c r="A151" s="13">
        <v>9.7799999999999994</v>
      </c>
      <c r="B151" s="10">
        <v>1.73</v>
      </c>
      <c r="C151" s="10" t="s">
        <v>27</v>
      </c>
      <c r="D151" s="10" t="s">
        <v>24</v>
      </c>
      <c r="E151" s="10" t="s">
        <v>30</v>
      </c>
      <c r="F151" s="10" t="s">
        <v>31</v>
      </c>
      <c r="G151" s="14">
        <v>2</v>
      </c>
    </row>
    <row r="152" spans="1:7" ht="15.6" x14ac:dyDescent="0.3">
      <c r="A152" s="13">
        <v>7.51</v>
      </c>
      <c r="B152" s="10">
        <v>2</v>
      </c>
      <c r="C152" s="10" t="s">
        <v>27</v>
      </c>
      <c r="D152" s="10" t="s">
        <v>24</v>
      </c>
      <c r="E152" s="10" t="s">
        <v>30</v>
      </c>
      <c r="F152" s="10" t="s">
        <v>31</v>
      </c>
      <c r="G152" s="14">
        <v>2</v>
      </c>
    </row>
    <row r="153" spans="1:7" ht="15.6" x14ac:dyDescent="0.3">
      <c r="A153" s="13">
        <v>14.07</v>
      </c>
      <c r="B153" s="10">
        <v>2.5</v>
      </c>
      <c r="C153" s="10" t="s">
        <v>27</v>
      </c>
      <c r="D153" s="10" t="s">
        <v>24</v>
      </c>
      <c r="E153" s="10" t="s">
        <v>25</v>
      </c>
      <c r="F153" s="10" t="s">
        <v>26</v>
      </c>
      <c r="G153" s="14">
        <v>2</v>
      </c>
    </row>
    <row r="154" spans="1:7" ht="15.6" x14ac:dyDescent="0.3">
      <c r="A154" s="13">
        <v>13.13</v>
      </c>
      <c r="B154" s="10">
        <v>2</v>
      </c>
      <c r="C154" s="10" t="s">
        <v>27</v>
      </c>
      <c r="D154" s="10" t="s">
        <v>24</v>
      </c>
      <c r="E154" s="10" t="s">
        <v>25</v>
      </c>
      <c r="F154" s="10" t="s">
        <v>26</v>
      </c>
      <c r="G154" s="14">
        <v>2</v>
      </c>
    </row>
    <row r="155" spans="1:7" ht="15.6" x14ac:dyDescent="0.3">
      <c r="A155" s="13">
        <v>17.260000000000002</v>
      </c>
      <c r="B155" s="10">
        <v>2.74</v>
      </c>
      <c r="C155" s="10" t="s">
        <v>27</v>
      </c>
      <c r="D155" s="10" t="s">
        <v>24</v>
      </c>
      <c r="E155" s="10" t="s">
        <v>25</v>
      </c>
      <c r="F155" s="10" t="s">
        <v>26</v>
      </c>
      <c r="G155" s="14">
        <v>3</v>
      </c>
    </row>
    <row r="156" spans="1:7" ht="15.6" x14ac:dyDescent="0.3">
      <c r="A156" s="13">
        <v>24.55</v>
      </c>
      <c r="B156" s="10">
        <v>2</v>
      </c>
      <c r="C156" s="10" t="s">
        <v>27</v>
      </c>
      <c r="D156" s="10" t="s">
        <v>24</v>
      </c>
      <c r="E156" s="10" t="s">
        <v>25</v>
      </c>
      <c r="F156" s="10" t="s">
        <v>26</v>
      </c>
      <c r="G156" s="14">
        <v>4</v>
      </c>
    </row>
    <row r="157" spans="1:7" ht="15.6" x14ac:dyDescent="0.3">
      <c r="A157" s="13">
        <v>19.77</v>
      </c>
      <c r="B157" s="10">
        <v>2</v>
      </c>
      <c r="C157" s="10" t="s">
        <v>27</v>
      </c>
      <c r="D157" s="10" t="s">
        <v>24</v>
      </c>
      <c r="E157" s="10" t="s">
        <v>25</v>
      </c>
      <c r="F157" s="10" t="s">
        <v>26</v>
      </c>
      <c r="G157" s="14">
        <v>4</v>
      </c>
    </row>
    <row r="158" spans="1:7" ht="15.6" x14ac:dyDescent="0.3">
      <c r="A158" s="13">
        <v>29.85</v>
      </c>
      <c r="B158" s="10">
        <v>5.14</v>
      </c>
      <c r="C158" s="10" t="s">
        <v>23</v>
      </c>
      <c r="D158" s="10" t="s">
        <v>24</v>
      </c>
      <c r="E158" s="10" t="s">
        <v>25</v>
      </c>
      <c r="F158" s="10" t="s">
        <v>26</v>
      </c>
      <c r="G158" s="14">
        <v>5</v>
      </c>
    </row>
    <row r="159" spans="1:7" ht="15.6" x14ac:dyDescent="0.3">
      <c r="A159" s="13">
        <v>48.17</v>
      </c>
      <c r="B159" s="10">
        <v>5</v>
      </c>
      <c r="C159" s="10" t="s">
        <v>27</v>
      </c>
      <c r="D159" s="10" t="s">
        <v>24</v>
      </c>
      <c r="E159" s="10" t="s">
        <v>25</v>
      </c>
      <c r="F159" s="10" t="s">
        <v>26</v>
      </c>
      <c r="G159" s="14">
        <v>6</v>
      </c>
    </row>
    <row r="160" spans="1:7" ht="15.6" x14ac:dyDescent="0.3">
      <c r="A160" s="13">
        <v>25</v>
      </c>
      <c r="B160" s="10">
        <v>3.75</v>
      </c>
      <c r="C160" s="10" t="s">
        <v>23</v>
      </c>
      <c r="D160" s="10" t="s">
        <v>24</v>
      </c>
      <c r="E160" s="10" t="s">
        <v>25</v>
      </c>
      <c r="F160" s="10" t="s">
        <v>26</v>
      </c>
      <c r="G160" s="14">
        <v>4</v>
      </c>
    </row>
    <row r="161" spans="1:7" ht="15.6" x14ac:dyDescent="0.3">
      <c r="A161" s="13">
        <v>13.39</v>
      </c>
      <c r="B161" s="10">
        <v>2.61</v>
      </c>
      <c r="C161" s="10" t="s">
        <v>23</v>
      </c>
      <c r="D161" s="10" t="s">
        <v>24</v>
      </c>
      <c r="E161" s="10" t="s">
        <v>25</v>
      </c>
      <c r="F161" s="10" t="s">
        <v>26</v>
      </c>
      <c r="G161" s="14">
        <v>2</v>
      </c>
    </row>
    <row r="162" spans="1:7" ht="15.6" x14ac:dyDescent="0.3">
      <c r="A162" s="13">
        <v>16.489999999999998</v>
      </c>
      <c r="B162" s="10">
        <v>2</v>
      </c>
      <c r="C162" s="10" t="s">
        <v>27</v>
      </c>
      <c r="D162" s="10" t="s">
        <v>24</v>
      </c>
      <c r="E162" s="10" t="s">
        <v>25</v>
      </c>
      <c r="F162" s="10" t="s">
        <v>26</v>
      </c>
      <c r="G162" s="14">
        <v>4</v>
      </c>
    </row>
    <row r="163" spans="1:7" ht="15.6" x14ac:dyDescent="0.3">
      <c r="A163" s="13">
        <v>21.5</v>
      </c>
      <c r="B163" s="10">
        <v>3.5</v>
      </c>
      <c r="C163" s="10" t="s">
        <v>27</v>
      </c>
      <c r="D163" s="10" t="s">
        <v>24</v>
      </c>
      <c r="E163" s="10" t="s">
        <v>25</v>
      </c>
      <c r="F163" s="10" t="s">
        <v>26</v>
      </c>
      <c r="G163" s="14">
        <v>4</v>
      </c>
    </row>
    <row r="164" spans="1:7" ht="15.6" x14ac:dyDescent="0.3">
      <c r="A164" s="13">
        <v>12.66</v>
      </c>
      <c r="B164" s="10">
        <v>2.5</v>
      </c>
      <c r="C164" s="10" t="s">
        <v>27</v>
      </c>
      <c r="D164" s="10" t="s">
        <v>24</v>
      </c>
      <c r="E164" s="10" t="s">
        <v>25</v>
      </c>
      <c r="F164" s="10" t="s">
        <v>26</v>
      </c>
      <c r="G164" s="14">
        <v>2</v>
      </c>
    </row>
    <row r="165" spans="1:7" ht="15.6" x14ac:dyDescent="0.3">
      <c r="A165" s="13">
        <v>16.21</v>
      </c>
      <c r="B165" s="10">
        <v>2</v>
      </c>
      <c r="C165" s="10" t="s">
        <v>23</v>
      </c>
      <c r="D165" s="10" t="s">
        <v>24</v>
      </c>
      <c r="E165" s="10" t="s">
        <v>25</v>
      </c>
      <c r="F165" s="10" t="s">
        <v>26</v>
      </c>
      <c r="G165" s="14">
        <v>3</v>
      </c>
    </row>
    <row r="166" spans="1:7" ht="15.6" x14ac:dyDescent="0.3">
      <c r="A166" s="13">
        <v>13.81</v>
      </c>
      <c r="B166" s="10">
        <v>2</v>
      </c>
      <c r="C166" s="10" t="s">
        <v>27</v>
      </c>
      <c r="D166" s="10" t="s">
        <v>24</v>
      </c>
      <c r="E166" s="10" t="s">
        <v>25</v>
      </c>
      <c r="F166" s="10" t="s">
        <v>26</v>
      </c>
      <c r="G166" s="14">
        <v>2</v>
      </c>
    </row>
    <row r="167" spans="1:7" ht="15.6" x14ac:dyDescent="0.3">
      <c r="A167" s="13">
        <v>17.510000000000002</v>
      </c>
      <c r="B167" s="10">
        <v>3</v>
      </c>
      <c r="C167" s="10" t="s">
        <v>23</v>
      </c>
      <c r="D167" s="10" t="s">
        <v>29</v>
      </c>
      <c r="E167" s="10" t="s">
        <v>25</v>
      </c>
      <c r="F167" s="10" t="s">
        <v>26</v>
      </c>
      <c r="G167" s="14">
        <v>2</v>
      </c>
    </row>
    <row r="168" spans="1:7" ht="15.6" x14ac:dyDescent="0.3">
      <c r="A168" s="13">
        <v>24.52</v>
      </c>
      <c r="B168" s="10">
        <v>3.48</v>
      </c>
      <c r="C168" s="10" t="s">
        <v>27</v>
      </c>
      <c r="D168" s="10" t="s">
        <v>24</v>
      </c>
      <c r="E168" s="10" t="s">
        <v>25</v>
      </c>
      <c r="F168" s="10" t="s">
        <v>26</v>
      </c>
      <c r="G168" s="14">
        <v>3</v>
      </c>
    </row>
    <row r="169" spans="1:7" ht="15.6" x14ac:dyDescent="0.3">
      <c r="A169" s="13">
        <v>20.76</v>
      </c>
      <c r="B169" s="10">
        <v>2.2400000000000002</v>
      </c>
      <c r="C169" s="10" t="s">
        <v>27</v>
      </c>
      <c r="D169" s="10" t="s">
        <v>24</v>
      </c>
      <c r="E169" s="10" t="s">
        <v>25</v>
      </c>
      <c r="F169" s="10" t="s">
        <v>26</v>
      </c>
      <c r="G169" s="14">
        <v>2</v>
      </c>
    </row>
    <row r="170" spans="1:7" ht="15.6" x14ac:dyDescent="0.3">
      <c r="A170" s="13">
        <v>31.71</v>
      </c>
      <c r="B170" s="10">
        <v>4.5</v>
      </c>
      <c r="C170" s="10" t="s">
        <v>27</v>
      </c>
      <c r="D170" s="10" t="s">
        <v>24</v>
      </c>
      <c r="E170" s="10" t="s">
        <v>25</v>
      </c>
      <c r="F170" s="10" t="s">
        <v>26</v>
      </c>
      <c r="G170" s="14">
        <v>4</v>
      </c>
    </row>
    <row r="171" spans="1:7" ht="15.6" x14ac:dyDescent="0.3">
      <c r="A171" s="13">
        <v>10.59</v>
      </c>
      <c r="B171" s="10">
        <v>1.61</v>
      </c>
      <c r="C171" s="10" t="s">
        <v>23</v>
      </c>
      <c r="D171" s="10" t="s">
        <v>29</v>
      </c>
      <c r="E171" s="10" t="s">
        <v>28</v>
      </c>
      <c r="F171" s="10" t="s">
        <v>26</v>
      </c>
      <c r="G171" s="14">
        <v>2</v>
      </c>
    </row>
    <row r="172" spans="1:7" ht="15.6" x14ac:dyDescent="0.3">
      <c r="A172" s="13">
        <v>10.63</v>
      </c>
      <c r="B172" s="10">
        <v>2</v>
      </c>
      <c r="C172" s="10" t="s">
        <v>23</v>
      </c>
      <c r="D172" s="10" t="s">
        <v>29</v>
      </c>
      <c r="E172" s="10" t="s">
        <v>28</v>
      </c>
      <c r="F172" s="10" t="s">
        <v>26</v>
      </c>
      <c r="G172" s="14">
        <v>2</v>
      </c>
    </row>
    <row r="173" spans="1:7" ht="15.6" x14ac:dyDescent="0.3">
      <c r="A173" s="13">
        <v>50.81</v>
      </c>
      <c r="B173" s="10">
        <v>10</v>
      </c>
      <c r="C173" s="10" t="s">
        <v>27</v>
      </c>
      <c r="D173" s="10" t="s">
        <v>29</v>
      </c>
      <c r="E173" s="10" t="s">
        <v>28</v>
      </c>
      <c r="F173" s="10" t="s">
        <v>26</v>
      </c>
      <c r="G173" s="14">
        <v>3</v>
      </c>
    </row>
    <row r="174" spans="1:7" ht="15.6" x14ac:dyDescent="0.3">
      <c r="A174" s="13">
        <v>15.81</v>
      </c>
      <c r="B174" s="10">
        <v>3.16</v>
      </c>
      <c r="C174" s="10" t="s">
        <v>27</v>
      </c>
      <c r="D174" s="10" t="s">
        <v>29</v>
      </c>
      <c r="E174" s="10" t="s">
        <v>28</v>
      </c>
      <c r="F174" s="10" t="s">
        <v>26</v>
      </c>
      <c r="G174" s="14">
        <v>2</v>
      </c>
    </row>
    <row r="175" spans="1:7" ht="15.6" x14ac:dyDescent="0.3">
      <c r="A175" s="13">
        <v>7.25</v>
      </c>
      <c r="B175" s="10">
        <v>5.15</v>
      </c>
      <c r="C175" s="10" t="s">
        <v>27</v>
      </c>
      <c r="D175" s="10" t="s">
        <v>29</v>
      </c>
      <c r="E175" s="10" t="s">
        <v>25</v>
      </c>
      <c r="F175" s="10" t="s">
        <v>26</v>
      </c>
      <c r="G175" s="14">
        <v>2</v>
      </c>
    </row>
    <row r="176" spans="1:7" ht="15.6" x14ac:dyDescent="0.3">
      <c r="A176" s="13">
        <v>31.85</v>
      </c>
      <c r="B176" s="10">
        <v>3.18</v>
      </c>
      <c r="C176" s="10" t="s">
        <v>27</v>
      </c>
      <c r="D176" s="10" t="s">
        <v>29</v>
      </c>
      <c r="E176" s="10" t="s">
        <v>25</v>
      </c>
      <c r="F176" s="10" t="s">
        <v>26</v>
      </c>
      <c r="G176" s="14">
        <v>2</v>
      </c>
    </row>
    <row r="177" spans="1:7" ht="15.6" x14ac:dyDescent="0.3">
      <c r="A177" s="13">
        <v>16.82</v>
      </c>
      <c r="B177" s="10">
        <v>4</v>
      </c>
      <c r="C177" s="10" t="s">
        <v>27</v>
      </c>
      <c r="D177" s="10" t="s">
        <v>29</v>
      </c>
      <c r="E177" s="10" t="s">
        <v>25</v>
      </c>
      <c r="F177" s="10" t="s">
        <v>26</v>
      </c>
      <c r="G177" s="14">
        <v>2</v>
      </c>
    </row>
    <row r="178" spans="1:7" ht="15.6" x14ac:dyDescent="0.3">
      <c r="A178" s="13">
        <v>32.9</v>
      </c>
      <c r="B178" s="10">
        <v>3.11</v>
      </c>
      <c r="C178" s="10" t="s">
        <v>27</v>
      </c>
      <c r="D178" s="10" t="s">
        <v>29</v>
      </c>
      <c r="E178" s="10" t="s">
        <v>25</v>
      </c>
      <c r="F178" s="10" t="s">
        <v>26</v>
      </c>
      <c r="G178" s="14">
        <v>2</v>
      </c>
    </row>
    <row r="179" spans="1:7" ht="15.6" x14ac:dyDescent="0.3">
      <c r="A179" s="13">
        <v>17.89</v>
      </c>
      <c r="B179" s="10">
        <v>2</v>
      </c>
      <c r="C179" s="10" t="s">
        <v>27</v>
      </c>
      <c r="D179" s="10" t="s">
        <v>29</v>
      </c>
      <c r="E179" s="10" t="s">
        <v>25</v>
      </c>
      <c r="F179" s="10" t="s">
        <v>26</v>
      </c>
      <c r="G179" s="14">
        <v>2</v>
      </c>
    </row>
    <row r="180" spans="1:7" ht="15.6" x14ac:dyDescent="0.3">
      <c r="A180" s="13">
        <v>14.48</v>
      </c>
      <c r="B180" s="10">
        <v>2</v>
      </c>
      <c r="C180" s="10" t="s">
        <v>27</v>
      </c>
      <c r="D180" s="10" t="s">
        <v>29</v>
      </c>
      <c r="E180" s="10" t="s">
        <v>25</v>
      </c>
      <c r="F180" s="10" t="s">
        <v>26</v>
      </c>
      <c r="G180" s="14">
        <v>2</v>
      </c>
    </row>
    <row r="181" spans="1:7" ht="15.6" x14ac:dyDescent="0.3">
      <c r="A181" s="13">
        <v>9.6</v>
      </c>
      <c r="B181" s="10">
        <v>4</v>
      </c>
      <c r="C181" s="10" t="s">
        <v>23</v>
      </c>
      <c r="D181" s="10" t="s">
        <v>29</v>
      </c>
      <c r="E181" s="10" t="s">
        <v>25</v>
      </c>
      <c r="F181" s="10" t="s">
        <v>26</v>
      </c>
      <c r="G181" s="14">
        <v>2</v>
      </c>
    </row>
    <row r="182" spans="1:7" ht="15.6" x14ac:dyDescent="0.3">
      <c r="A182" s="13">
        <v>34.630000000000003</v>
      </c>
      <c r="B182" s="10">
        <v>3.55</v>
      </c>
      <c r="C182" s="10" t="s">
        <v>27</v>
      </c>
      <c r="D182" s="10" t="s">
        <v>29</v>
      </c>
      <c r="E182" s="10" t="s">
        <v>25</v>
      </c>
      <c r="F182" s="10" t="s">
        <v>26</v>
      </c>
      <c r="G182" s="14">
        <v>2</v>
      </c>
    </row>
    <row r="183" spans="1:7" ht="15.6" x14ac:dyDescent="0.3">
      <c r="A183" s="13">
        <v>34.65</v>
      </c>
      <c r="B183" s="10">
        <v>3.68</v>
      </c>
      <c r="C183" s="10" t="s">
        <v>27</v>
      </c>
      <c r="D183" s="10" t="s">
        <v>29</v>
      </c>
      <c r="E183" s="10" t="s">
        <v>25</v>
      </c>
      <c r="F183" s="10" t="s">
        <v>26</v>
      </c>
      <c r="G183" s="14">
        <v>4</v>
      </c>
    </row>
    <row r="184" spans="1:7" ht="15.6" x14ac:dyDescent="0.3">
      <c r="A184" s="13">
        <v>23.33</v>
      </c>
      <c r="B184" s="10">
        <v>5.65</v>
      </c>
      <c r="C184" s="10" t="s">
        <v>27</v>
      </c>
      <c r="D184" s="10" t="s">
        <v>29</v>
      </c>
      <c r="E184" s="10" t="s">
        <v>25</v>
      </c>
      <c r="F184" s="10" t="s">
        <v>26</v>
      </c>
      <c r="G184" s="14">
        <v>2</v>
      </c>
    </row>
    <row r="185" spans="1:7" ht="15.6" x14ac:dyDescent="0.3">
      <c r="A185" s="13">
        <v>45.35</v>
      </c>
      <c r="B185" s="10">
        <v>3.5</v>
      </c>
      <c r="C185" s="10" t="s">
        <v>27</v>
      </c>
      <c r="D185" s="10" t="s">
        <v>29</v>
      </c>
      <c r="E185" s="10" t="s">
        <v>25</v>
      </c>
      <c r="F185" s="10" t="s">
        <v>26</v>
      </c>
      <c r="G185" s="14">
        <v>3</v>
      </c>
    </row>
    <row r="186" spans="1:7" ht="15.6" x14ac:dyDescent="0.3">
      <c r="A186" s="13">
        <v>23.17</v>
      </c>
      <c r="B186" s="10">
        <v>6.5</v>
      </c>
      <c r="C186" s="10" t="s">
        <v>27</v>
      </c>
      <c r="D186" s="10" t="s">
        <v>29</v>
      </c>
      <c r="E186" s="10" t="s">
        <v>25</v>
      </c>
      <c r="F186" s="10" t="s">
        <v>26</v>
      </c>
      <c r="G186" s="14">
        <v>4</v>
      </c>
    </row>
    <row r="187" spans="1:7" ht="15.6" x14ac:dyDescent="0.3">
      <c r="A187" s="13">
        <v>40.549999999999997</v>
      </c>
      <c r="B187" s="10">
        <v>3</v>
      </c>
      <c r="C187" s="10" t="s">
        <v>27</v>
      </c>
      <c r="D187" s="10" t="s">
        <v>29</v>
      </c>
      <c r="E187" s="10" t="s">
        <v>25</v>
      </c>
      <c r="F187" s="10" t="s">
        <v>26</v>
      </c>
      <c r="G187" s="14">
        <v>2</v>
      </c>
    </row>
    <row r="188" spans="1:7" ht="15.6" x14ac:dyDescent="0.3">
      <c r="A188" s="13">
        <v>20.69</v>
      </c>
      <c r="B188" s="10">
        <v>5</v>
      </c>
      <c r="C188" s="10" t="s">
        <v>27</v>
      </c>
      <c r="D188" s="10" t="s">
        <v>24</v>
      </c>
      <c r="E188" s="10" t="s">
        <v>25</v>
      </c>
      <c r="F188" s="10" t="s">
        <v>26</v>
      </c>
      <c r="G188" s="14">
        <v>5</v>
      </c>
    </row>
    <row r="189" spans="1:7" ht="15.6" x14ac:dyDescent="0.3">
      <c r="A189" s="13">
        <v>20.9</v>
      </c>
      <c r="B189" s="10">
        <v>3.5</v>
      </c>
      <c r="C189" s="10" t="s">
        <v>23</v>
      </c>
      <c r="D189" s="10" t="s">
        <v>29</v>
      </c>
      <c r="E189" s="10" t="s">
        <v>25</v>
      </c>
      <c r="F189" s="10" t="s">
        <v>26</v>
      </c>
      <c r="G189" s="14">
        <v>3</v>
      </c>
    </row>
    <row r="190" spans="1:7" ht="15.6" x14ac:dyDescent="0.3">
      <c r="A190" s="13">
        <v>30.46</v>
      </c>
      <c r="B190" s="10">
        <v>2</v>
      </c>
      <c r="C190" s="10" t="s">
        <v>27</v>
      </c>
      <c r="D190" s="10" t="s">
        <v>29</v>
      </c>
      <c r="E190" s="10" t="s">
        <v>25</v>
      </c>
      <c r="F190" s="10" t="s">
        <v>26</v>
      </c>
      <c r="G190" s="14">
        <v>5</v>
      </c>
    </row>
    <row r="191" spans="1:7" ht="15.6" x14ac:dyDescent="0.3">
      <c r="A191" s="13">
        <v>18.149999999999999</v>
      </c>
      <c r="B191" s="10">
        <v>3.5</v>
      </c>
      <c r="C191" s="10" t="s">
        <v>23</v>
      </c>
      <c r="D191" s="10" t="s">
        <v>29</v>
      </c>
      <c r="E191" s="10" t="s">
        <v>25</v>
      </c>
      <c r="F191" s="10" t="s">
        <v>26</v>
      </c>
      <c r="G191" s="14">
        <v>3</v>
      </c>
    </row>
    <row r="192" spans="1:7" ht="15.6" x14ac:dyDescent="0.3">
      <c r="A192" s="13">
        <v>23.1</v>
      </c>
      <c r="B192" s="10">
        <v>4</v>
      </c>
      <c r="C192" s="10" t="s">
        <v>27</v>
      </c>
      <c r="D192" s="10" t="s">
        <v>29</v>
      </c>
      <c r="E192" s="10" t="s">
        <v>25</v>
      </c>
      <c r="F192" s="10" t="s">
        <v>26</v>
      </c>
      <c r="G192" s="14">
        <v>3</v>
      </c>
    </row>
    <row r="193" spans="1:7" ht="15.6" x14ac:dyDescent="0.3">
      <c r="A193" s="13">
        <v>15.69</v>
      </c>
      <c r="B193" s="10">
        <v>1.5</v>
      </c>
      <c r="C193" s="10" t="s">
        <v>27</v>
      </c>
      <c r="D193" s="10" t="s">
        <v>29</v>
      </c>
      <c r="E193" s="10" t="s">
        <v>25</v>
      </c>
      <c r="F193" s="10" t="s">
        <v>26</v>
      </c>
      <c r="G193" s="14">
        <v>2</v>
      </c>
    </row>
    <row r="194" spans="1:7" ht="15.6" x14ac:dyDescent="0.3">
      <c r="A194" s="13">
        <v>19.809999999999999</v>
      </c>
      <c r="B194" s="10">
        <v>4.1900000000000004</v>
      </c>
      <c r="C194" s="10" t="s">
        <v>23</v>
      </c>
      <c r="D194" s="10" t="s">
        <v>29</v>
      </c>
      <c r="E194" s="10" t="s">
        <v>30</v>
      </c>
      <c r="F194" s="10" t="s">
        <v>31</v>
      </c>
      <c r="G194" s="14">
        <v>2</v>
      </c>
    </row>
    <row r="195" spans="1:7" ht="15.6" x14ac:dyDescent="0.3">
      <c r="A195" s="13">
        <v>28.44</v>
      </c>
      <c r="B195" s="10">
        <v>2.56</v>
      </c>
      <c r="C195" s="10" t="s">
        <v>27</v>
      </c>
      <c r="D195" s="10" t="s">
        <v>29</v>
      </c>
      <c r="E195" s="10" t="s">
        <v>30</v>
      </c>
      <c r="F195" s="10" t="s">
        <v>31</v>
      </c>
      <c r="G195" s="14">
        <v>2</v>
      </c>
    </row>
    <row r="196" spans="1:7" ht="15.6" x14ac:dyDescent="0.3">
      <c r="A196" s="13">
        <v>15.48</v>
      </c>
      <c r="B196" s="10">
        <v>2.02</v>
      </c>
      <c r="C196" s="10" t="s">
        <v>27</v>
      </c>
      <c r="D196" s="10" t="s">
        <v>29</v>
      </c>
      <c r="E196" s="10" t="s">
        <v>30</v>
      </c>
      <c r="F196" s="10" t="s">
        <v>31</v>
      </c>
      <c r="G196" s="14">
        <v>2</v>
      </c>
    </row>
    <row r="197" spans="1:7" ht="15.6" x14ac:dyDescent="0.3">
      <c r="A197" s="13">
        <v>16.579999999999998</v>
      </c>
      <c r="B197" s="10">
        <v>4</v>
      </c>
      <c r="C197" s="10" t="s">
        <v>27</v>
      </c>
      <c r="D197" s="10" t="s">
        <v>29</v>
      </c>
      <c r="E197" s="10" t="s">
        <v>30</v>
      </c>
      <c r="F197" s="10" t="s">
        <v>31</v>
      </c>
      <c r="G197" s="14">
        <v>2</v>
      </c>
    </row>
    <row r="198" spans="1:7" ht="15.6" x14ac:dyDescent="0.3">
      <c r="A198" s="13">
        <v>7.56</v>
      </c>
      <c r="B198" s="10">
        <v>1.44</v>
      </c>
      <c r="C198" s="10" t="s">
        <v>27</v>
      </c>
      <c r="D198" s="10" t="s">
        <v>24</v>
      </c>
      <c r="E198" s="10" t="s">
        <v>30</v>
      </c>
      <c r="F198" s="10" t="s">
        <v>31</v>
      </c>
      <c r="G198" s="14">
        <v>2</v>
      </c>
    </row>
    <row r="199" spans="1:7" ht="15.6" x14ac:dyDescent="0.3">
      <c r="A199" s="13">
        <v>10.34</v>
      </c>
      <c r="B199" s="10">
        <v>2</v>
      </c>
      <c r="C199" s="10" t="s">
        <v>27</v>
      </c>
      <c r="D199" s="10" t="s">
        <v>29</v>
      </c>
      <c r="E199" s="10" t="s">
        <v>30</v>
      </c>
      <c r="F199" s="10" t="s">
        <v>31</v>
      </c>
      <c r="G199" s="14">
        <v>2</v>
      </c>
    </row>
    <row r="200" spans="1:7" ht="15.6" x14ac:dyDescent="0.3">
      <c r="A200" s="13">
        <v>43.11</v>
      </c>
      <c r="B200" s="10">
        <v>5</v>
      </c>
      <c r="C200" s="10" t="s">
        <v>23</v>
      </c>
      <c r="D200" s="10" t="s">
        <v>29</v>
      </c>
      <c r="E200" s="10" t="s">
        <v>30</v>
      </c>
      <c r="F200" s="10" t="s">
        <v>31</v>
      </c>
      <c r="G200" s="14">
        <v>4</v>
      </c>
    </row>
    <row r="201" spans="1:7" ht="15.6" x14ac:dyDescent="0.3">
      <c r="A201" s="13">
        <v>13</v>
      </c>
      <c r="B201" s="10">
        <v>2</v>
      </c>
      <c r="C201" s="10" t="s">
        <v>23</v>
      </c>
      <c r="D201" s="10" t="s">
        <v>29</v>
      </c>
      <c r="E201" s="10" t="s">
        <v>30</v>
      </c>
      <c r="F201" s="10" t="s">
        <v>31</v>
      </c>
      <c r="G201" s="14">
        <v>2</v>
      </c>
    </row>
    <row r="202" spans="1:7" ht="15.6" x14ac:dyDescent="0.3">
      <c r="A202" s="13">
        <v>13.51</v>
      </c>
      <c r="B202" s="10">
        <v>2</v>
      </c>
      <c r="C202" s="10" t="s">
        <v>27</v>
      </c>
      <c r="D202" s="10" t="s">
        <v>29</v>
      </c>
      <c r="E202" s="10" t="s">
        <v>30</v>
      </c>
      <c r="F202" s="10" t="s">
        <v>31</v>
      </c>
      <c r="G202" s="14">
        <v>2</v>
      </c>
    </row>
    <row r="203" spans="1:7" ht="15.6" x14ac:dyDescent="0.3">
      <c r="A203" s="13">
        <v>18.71</v>
      </c>
      <c r="B203" s="10">
        <v>4</v>
      </c>
      <c r="C203" s="10" t="s">
        <v>27</v>
      </c>
      <c r="D203" s="10" t="s">
        <v>29</v>
      </c>
      <c r="E203" s="10" t="s">
        <v>30</v>
      </c>
      <c r="F203" s="10" t="s">
        <v>31</v>
      </c>
      <c r="G203" s="14">
        <v>3</v>
      </c>
    </row>
    <row r="204" spans="1:7" ht="15.6" x14ac:dyDescent="0.3">
      <c r="A204" s="13">
        <v>12.74</v>
      </c>
      <c r="B204" s="10">
        <v>2.0099999999999998</v>
      </c>
      <c r="C204" s="10" t="s">
        <v>23</v>
      </c>
      <c r="D204" s="10" t="s">
        <v>29</v>
      </c>
      <c r="E204" s="10" t="s">
        <v>30</v>
      </c>
      <c r="F204" s="10" t="s">
        <v>31</v>
      </c>
      <c r="G204" s="14">
        <v>2</v>
      </c>
    </row>
    <row r="205" spans="1:7" ht="15.6" x14ac:dyDescent="0.3">
      <c r="A205" s="13">
        <v>13</v>
      </c>
      <c r="B205" s="10">
        <v>2</v>
      </c>
      <c r="C205" s="10" t="s">
        <v>23</v>
      </c>
      <c r="D205" s="10" t="s">
        <v>29</v>
      </c>
      <c r="E205" s="10" t="s">
        <v>30</v>
      </c>
      <c r="F205" s="10" t="s">
        <v>31</v>
      </c>
      <c r="G205" s="14">
        <v>2</v>
      </c>
    </row>
    <row r="206" spans="1:7" ht="15.6" x14ac:dyDescent="0.3">
      <c r="A206" s="13">
        <v>16.399999999999999</v>
      </c>
      <c r="B206" s="10">
        <v>2.5</v>
      </c>
      <c r="C206" s="10" t="s">
        <v>23</v>
      </c>
      <c r="D206" s="10" t="s">
        <v>29</v>
      </c>
      <c r="E206" s="10" t="s">
        <v>30</v>
      </c>
      <c r="F206" s="10" t="s">
        <v>31</v>
      </c>
      <c r="G206" s="14">
        <v>2</v>
      </c>
    </row>
    <row r="207" spans="1:7" ht="15.6" x14ac:dyDescent="0.3">
      <c r="A207" s="13">
        <v>20.53</v>
      </c>
      <c r="B207" s="10">
        <v>4</v>
      </c>
      <c r="C207" s="10" t="s">
        <v>27</v>
      </c>
      <c r="D207" s="10" t="s">
        <v>29</v>
      </c>
      <c r="E207" s="10" t="s">
        <v>30</v>
      </c>
      <c r="F207" s="10" t="s">
        <v>31</v>
      </c>
      <c r="G207" s="14">
        <v>4</v>
      </c>
    </row>
    <row r="208" spans="1:7" ht="15.6" x14ac:dyDescent="0.3">
      <c r="A208" s="13">
        <v>16.47</v>
      </c>
      <c r="B208" s="10">
        <v>3.23</v>
      </c>
      <c r="C208" s="10" t="s">
        <v>23</v>
      </c>
      <c r="D208" s="10" t="s">
        <v>29</v>
      </c>
      <c r="E208" s="10" t="s">
        <v>30</v>
      </c>
      <c r="F208" s="10" t="s">
        <v>31</v>
      </c>
      <c r="G208" s="14">
        <v>3</v>
      </c>
    </row>
    <row r="209" spans="1:7" ht="15.6" x14ac:dyDescent="0.3">
      <c r="A209" s="13">
        <v>26.59</v>
      </c>
      <c r="B209" s="10">
        <v>3.41</v>
      </c>
      <c r="C209" s="10" t="s">
        <v>27</v>
      </c>
      <c r="D209" s="10" t="s">
        <v>29</v>
      </c>
      <c r="E209" s="10" t="s">
        <v>28</v>
      </c>
      <c r="F209" s="10" t="s">
        <v>26</v>
      </c>
      <c r="G209" s="14">
        <v>3</v>
      </c>
    </row>
    <row r="210" spans="1:7" ht="15.6" x14ac:dyDescent="0.3">
      <c r="A210" s="13">
        <v>38.729999999999997</v>
      </c>
      <c r="B210" s="10">
        <v>3</v>
      </c>
      <c r="C210" s="10" t="s">
        <v>27</v>
      </c>
      <c r="D210" s="10" t="s">
        <v>29</v>
      </c>
      <c r="E210" s="10" t="s">
        <v>28</v>
      </c>
      <c r="F210" s="10" t="s">
        <v>26</v>
      </c>
      <c r="G210" s="14">
        <v>4</v>
      </c>
    </row>
    <row r="211" spans="1:7" ht="15.6" x14ac:dyDescent="0.3">
      <c r="A211" s="13">
        <v>24.27</v>
      </c>
      <c r="B211" s="10">
        <v>2.0299999999999998</v>
      </c>
      <c r="C211" s="10" t="s">
        <v>27</v>
      </c>
      <c r="D211" s="10" t="s">
        <v>29</v>
      </c>
      <c r="E211" s="10" t="s">
        <v>28</v>
      </c>
      <c r="F211" s="10" t="s">
        <v>26</v>
      </c>
      <c r="G211" s="14">
        <v>2</v>
      </c>
    </row>
    <row r="212" spans="1:7" ht="15.6" x14ac:dyDescent="0.3">
      <c r="A212" s="13">
        <v>12.76</v>
      </c>
      <c r="B212" s="10">
        <v>2.23</v>
      </c>
      <c r="C212" s="10" t="s">
        <v>23</v>
      </c>
      <c r="D212" s="10" t="s">
        <v>29</v>
      </c>
      <c r="E212" s="10" t="s">
        <v>28</v>
      </c>
      <c r="F212" s="10" t="s">
        <v>26</v>
      </c>
      <c r="G212" s="14">
        <v>2</v>
      </c>
    </row>
    <row r="213" spans="1:7" ht="15.6" x14ac:dyDescent="0.3">
      <c r="A213" s="13">
        <v>30.06</v>
      </c>
      <c r="B213" s="10">
        <v>2</v>
      </c>
      <c r="C213" s="10" t="s">
        <v>27</v>
      </c>
      <c r="D213" s="10" t="s">
        <v>29</v>
      </c>
      <c r="E213" s="10" t="s">
        <v>28</v>
      </c>
      <c r="F213" s="10" t="s">
        <v>26</v>
      </c>
      <c r="G213" s="14">
        <v>3</v>
      </c>
    </row>
    <row r="214" spans="1:7" ht="15.6" x14ac:dyDescent="0.3">
      <c r="A214" s="13">
        <v>25.89</v>
      </c>
      <c r="B214" s="10">
        <v>5.16</v>
      </c>
      <c r="C214" s="10" t="s">
        <v>27</v>
      </c>
      <c r="D214" s="10" t="s">
        <v>29</v>
      </c>
      <c r="E214" s="10" t="s">
        <v>28</v>
      </c>
      <c r="F214" s="10" t="s">
        <v>26</v>
      </c>
      <c r="G214" s="14">
        <v>4</v>
      </c>
    </row>
    <row r="215" spans="1:7" ht="15.6" x14ac:dyDescent="0.3">
      <c r="A215" s="13">
        <v>48.33</v>
      </c>
      <c r="B215" s="10">
        <v>9</v>
      </c>
      <c r="C215" s="10" t="s">
        <v>27</v>
      </c>
      <c r="D215" s="10" t="s">
        <v>24</v>
      </c>
      <c r="E215" s="10" t="s">
        <v>28</v>
      </c>
      <c r="F215" s="10" t="s">
        <v>26</v>
      </c>
      <c r="G215" s="14">
        <v>4</v>
      </c>
    </row>
    <row r="216" spans="1:7" ht="15.6" x14ac:dyDescent="0.3">
      <c r="A216" s="13">
        <v>13.27</v>
      </c>
      <c r="B216" s="10">
        <v>2.5</v>
      </c>
      <c r="C216" s="10" t="s">
        <v>23</v>
      </c>
      <c r="D216" s="10" t="s">
        <v>29</v>
      </c>
      <c r="E216" s="10" t="s">
        <v>28</v>
      </c>
      <c r="F216" s="10" t="s">
        <v>26</v>
      </c>
      <c r="G216" s="14">
        <v>2</v>
      </c>
    </row>
    <row r="217" spans="1:7" ht="15.6" x14ac:dyDescent="0.3">
      <c r="A217" s="13">
        <v>28.17</v>
      </c>
      <c r="B217" s="10">
        <v>6.5</v>
      </c>
      <c r="C217" s="10" t="s">
        <v>23</v>
      </c>
      <c r="D217" s="10" t="s">
        <v>29</v>
      </c>
      <c r="E217" s="10" t="s">
        <v>28</v>
      </c>
      <c r="F217" s="10" t="s">
        <v>26</v>
      </c>
      <c r="G217" s="14">
        <v>3</v>
      </c>
    </row>
    <row r="218" spans="1:7" ht="15.6" x14ac:dyDescent="0.3">
      <c r="A218" s="13">
        <v>12.9</v>
      </c>
      <c r="B218" s="10">
        <v>1.1000000000000001</v>
      </c>
      <c r="C218" s="10" t="s">
        <v>23</v>
      </c>
      <c r="D218" s="10" t="s">
        <v>29</v>
      </c>
      <c r="E218" s="10" t="s">
        <v>28</v>
      </c>
      <c r="F218" s="10" t="s">
        <v>26</v>
      </c>
      <c r="G218" s="14">
        <v>2</v>
      </c>
    </row>
    <row r="219" spans="1:7" ht="15.6" x14ac:dyDescent="0.3">
      <c r="A219" s="13">
        <v>28.15</v>
      </c>
      <c r="B219" s="10">
        <v>3</v>
      </c>
      <c r="C219" s="10" t="s">
        <v>27</v>
      </c>
      <c r="D219" s="10" t="s">
        <v>29</v>
      </c>
      <c r="E219" s="10" t="s">
        <v>28</v>
      </c>
      <c r="F219" s="10" t="s">
        <v>26</v>
      </c>
      <c r="G219" s="14">
        <v>5</v>
      </c>
    </row>
    <row r="220" spans="1:7" ht="15.6" x14ac:dyDescent="0.3">
      <c r="A220" s="13">
        <v>11.59</v>
      </c>
      <c r="B220" s="10">
        <v>1.5</v>
      </c>
      <c r="C220" s="10" t="s">
        <v>27</v>
      </c>
      <c r="D220" s="10" t="s">
        <v>29</v>
      </c>
      <c r="E220" s="10" t="s">
        <v>28</v>
      </c>
      <c r="F220" s="10" t="s">
        <v>26</v>
      </c>
      <c r="G220" s="14">
        <v>2</v>
      </c>
    </row>
    <row r="221" spans="1:7" ht="15.6" x14ac:dyDescent="0.3">
      <c r="A221" s="13">
        <v>7.74</v>
      </c>
      <c r="B221" s="10">
        <v>1.44</v>
      </c>
      <c r="C221" s="10" t="s">
        <v>27</v>
      </c>
      <c r="D221" s="10" t="s">
        <v>29</v>
      </c>
      <c r="E221" s="10" t="s">
        <v>28</v>
      </c>
      <c r="F221" s="10" t="s">
        <v>26</v>
      </c>
      <c r="G221" s="14">
        <v>2</v>
      </c>
    </row>
    <row r="222" spans="1:7" ht="15.6" x14ac:dyDescent="0.3">
      <c r="A222" s="13">
        <v>30.14</v>
      </c>
      <c r="B222" s="10">
        <v>3.09</v>
      </c>
      <c r="C222" s="10" t="s">
        <v>23</v>
      </c>
      <c r="D222" s="10" t="s">
        <v>29</v>
      </c>
      <c r="E222" s="10" t="s">
        <v>28</v>
      </c>
      <c r="F222" s="10" t="s">
        <v>26</v>
      </c>
      <c r="G222" s="14">
        <v>4</v>
      </c>
    </row>
    <row r="223" spans="1:7" ht="15.6" x14ac:dyDescent="0.3">
      <c r="A223" s="13">
        <v>12.16</v>
      </c>
      <c r="B223" s="10">
        <v>2.2000000000000002</v>
      </c>
      <c r="C223" s="10" t="s">
        <v>27</v>
      </c>
      <c r="D223" s="10" t="s">
        <v>29</v>
      </c>
      <c r="E223" s="10" t="s">
        <v>32</v>
      </c>
      <c r="F223" s="10" t="s">
        <v>31</v>
      </c>
      <c r="G223" s="14">
        <v>2</v>
      </c>
    </row>
    <row r="224" spans="1:7" ht="15.6" x14ac:dyDescent="0.3">
      <c r="A224" s="13">
        <v>13.42</v>
      </c>
      <c r="B224" s="10">
        <v>3.48</v>
      </c>
      <c r="C224" s="10" t="s">
        <v>23</v>
      </c>
      <c r="D224" s="10" t="s">
        <v>29</v>
      </c>
      <c r="E224" s="10" t="s">
        <v>32</v>
      </c>
      <c r="F224" s="10" t="s">
        <v>31</v>
      </c>
      <c r="G224" s="14">
        <v>2</v>
      </c>
    </row>
    <row r="225" spans="1:7" ht="15.6" x14ac:dyDescent="0.3">
      <c r="A225" s="13">
        <v>8.58</v>
      </c>
      <c r="B225" s="10">
        <v>1.92</v>
      </c>
      <c r="C225" s="10" t="s">
        <v>27</v>
      </c>
      <c r="D225" s="10" t="s">
        <v>29</v>
      </c>
      <c r="E225" s="10" t="s">
        <v>32</v>
      </c>
      <c r="F225" s="10" t="s">
        <v>31</v>
      </c>
      <c r="G225" s="14">
        <v>1</v>
      </c>
    </row>
    <row r="226" spans="1:7" ht="15.6" x14ac:dyDescent="0.3">
      <c r="A226" s="13">
        <v>15.98</v>
      </c>
      <c r="B226" s="10">
        <v>3</v>
      </c>
      <c r="C226" s="10" t="s">
        <v>23</v>
      </c>
      <c r="D226" s="10" t="s">
        <v>24</v>
      </c>
      <c r="E226" s="10" t="s">
        <v>32</v>
      </c>
      <c r="F226" s="10" t="s">
        <v>31</v>
      </c>
      <c r="G226" s="14">
        <v>3</v>
      </c>
    </row>
    <row r="227" spans="1:7" ht="15.6" x14ac:dyDescent="0.3">
      <c r="A227" s="13">
        <v>13.42</v>
      </c>
      <c r="B227" s="10">
        <v>1.58</v>
      </c>
      <c r="C227" s="10" t="s">
        <v>27</v>
      </c>
      <c r="D227" s="10" t="s">
        <v>29</v>
      </c>
      <c r="E227" s="10" t="s">
        <v>32</v>
      </c>
      <c r="F227" s="10" t="s">
        <v>31</v>
      </c>
      <c r="G227" s="14">
        <v>2</v>
      </c>
    </row>
    <row r="228" spans="1:7" ht="15.6" x14ac:dyDescent="0.3">
      <c r="A228" s="13">
        <v>16.27</v>
      </c>
      <c r="B228" s="10">
        <v>2.5</v>
      </c>
      <c r="C228" s="10" t="s">
        <v>23</v>
      </c>
      <c r="D228" s="10" t="s">
        <v>29</v>
      </c>
      <c r="E228" s="10" t="s">
        <v>32</v>
      </c>
      <c r="F228" s="10" t="s">
        <v>31</v>
      </c>
      <c r="G228" s="14">
        <v>2</v>
      </c>
    </row>
    <row r="229" spans="1:7" ht="15.6" x14ac:dyDescent="0.3">
      <c r="A229" s="13">
        <v>10.09</v>
      </c>
      <c r="B229" s="10">
        <v>2</v>
      </c>
      <c r="C229" s="10" t="s">
        <v>23</v>
      </c>
      <c r="D229" s="10" t="s">
        <v>29</v>
      </c>
      <c r="E229" s="10" t="s">
        <v>32</v>
      </c>
      <c r="F229" s="10" t="s">
        <v>31</v>
      </c>
      <c r="G229" s="14">
        <v>2</v>
      </c>
    </row>
    <row r="230" spans="1:7" ht="15.6" x14ac:dyDescent="0.3">
      <c r="A230" s="13">
        <v>20.45</v>
      </c>
      <c r="B230" s="10">
        <v>3</v>
      </c>
      <c r="C230" s="10" t="s">
        <v>27</v>
      </c>
      <c r="D230" s="10" t="s">
        <v>24</v>
      </c>
      <c r="E230" s="10" t="s">
        <v>28</v>
      </c>
      <c r="F230" s="10" t="s">
        <v>26</v>
      </c>
      <c r="G230" s="14">
        <v>4</v>
      </c>
    </row>
    <row r="231" spans="1:7" ht="15.6" x14ac:dyDescent="0.3">
      <c r="A231" s="13">
        <v>13.28</v>
      </c>
      <c r="B231" s="10">
        <v>2.72</v>
      </c>
      <c r="C231" s="10" t="s">
        <v>27</v>
      </c>
      <c r="D231" s="10" t="s">
        <v>24</v>
      </c>
      <c r="E231" s="10" t="s">
        <v>28</v>
      </c>
      <c r="F231" s="10" t="s">
        <v>26</v>
      </c>
      <c r="G231" s="14">
        <v>2</v>
      </c>
    </row>
    <row r="232" spans="1:7" ht="15.6" x14ac:dyDescent="0.3">
      <c r="A232" s="13">
        <v>22.12</v>
      </c>
      <c r="B232" s="10">
        <v>2.88</v>
      </c>
      <c r="C232" s="10" t="s">
        <v>23</v>
      </c>
      <c r="D232" s="10" t="s">
        <v>29</v>
      </c>
      <c r="E232" s="10" t="s">
        <v>28</v>
      </c>
      <c r="F232" s="10" t="s">
        <v>26</v>
      </c>
      <c r="G232" s="14">
        <v>2</v>
      </c>
    </row>
    <row r="233" spans="1:7" ht="15.6" x14ac:dyDescent="0.3">
      <c r="A233" s="13">
        <v>24.01</v>
      </c>
      <c r="B233" s="10">
        <v>2</v>
      </c>
      <c r="C233" s="10" t="s">
        <v>27</v>
      </c>
      <c r="D233" s="10" t="s">
        <v>29</v>
      </c>
      <c r="E233" s="10" t="s">
        <v>28</v>
      </c>
      <c r="F233" s="10" t="s">
        <v>26</v>
      </c>
      <c r="G233" s="14">
        <v>4</v>
      </c>
    </row>
    <row r="234" spans="1:7" ht="15.6" x14ac:dyDescent="0.3">
      <c r="A234" s="13">
        <v>15.69</v>
      </c>
      <c r="B234" s="10">
        <v>3</v>
      </c>
      <c r="C234" s="10" t="s">
        <v>27</v>
      </c>
      <c r="D234" s="10" t="s">
        <v>29</v>
      </c>
      <c r="E234" s="10" t="s">
        <v>28</v>
      </c>
      <c r="F234" s="10" t="s">
        <v>26</v>
      </c>
      <c r="G234" s="14">
        <v>3</v>
      </c>
    </row>
    <row r="235" spans="1:7" ht="15.6" x14ac:dyDescent="0.3">
      <c r="A235" s="13">
        <v>11.61</v>
      </c>
      <c r="B235" s="10">
        <v>3.39</v>
      </c>
      <c r="C235" s="10" t="s">
        <v>27</v>
      </c>
      <c r="D235" s="10" t="s">
        <v>24</v>
      </c>
      <c r="E235" s="10" t="s">
        <v>28</v>
      </c>
      <c r="F235" s="10" t="s">
        <v>26</v>
      </c>
      <c r="G235" s="14">
        <v>2</v>
      </c>
    </row>
    <row r="236" spans="1:7" ht="15.6" x14ac:dyDescent="0.3">
      <c r="A236" s="13">
        <v>10.77</v>
      </c>
      <c r="B236" s="10">
        <v>1.47</v>
      </c>
      <c r="C236" s="10" t="s">
        <v>27</v>
      </c>
      <c r="D236" s="10" t="s">
        <v>24</v>
      </c>
      <c r="E236" s="10" t="s">
        <v>28</v>
      </c>
      <c r="F236" s="10" t="s">
        <v>26</v>
      </c>
      <c r="G236" s="14">
        <v>2</v>
      </c>
    </row>
    <row r="237" spans="1:7" ht="15.6" x14ac:dyDescent="0.3">
      <c r="A237" s="13">
        <v>15.53</v>
      </c>
      <c r="B237" s="10">
        <v>3</v>
      </c>
      <c r="C237" s="10" t="s">
        <v>27</v>
      </c>
      <c r="D237" s="10" t="s">
        <v>29</v>
      </c>
      <c r="E237" s="10" t="s">
        <v>28</v>
      </c>
      <c r="F237" s="10" t="s">
        <v>26</v>
      </c>
      <c r="G237" s="14">
        <v>2</v>
      </c>
    </row>
    <row r="238" spans="1:7" ht="15.6" x14ac:dyDescent="0.3">
      <c r="A238" s="13">
        <v>10.07</v>
      </c>
      <c r="B238" s="10">
        <v>1.25</v>
      </c>
      <c r="C238" s="10" t="s">
        <v>27</v>
      </c>
      <c r="D238" s="10" t="s">
        <v>24</v>
      </c>
      <c r="E238" s="10" t="s">
        <v>28</v>
      </c>
      <c r="F238" s="10" t="s">
        <v>26</v>
      </c>
      <c r="G238" s="14">
        <v>2</v>
      </c>
    </row>
    <row r="239" spans="1:7" ht="15.6" x14ac:dyDescent="0.3">
      <c r="A239" s="13">
        <v>12.6</v>
      </c>
      <c r="B239" s="10">
        <v>1</v>
      </c>
      <c r="C239" s="10" t="s">
        <v>27</v>
      </c>
      <c r="D239" s="10" t="s">
        <v>29</v>
      </c>
      <c r="E239" s="10" t="s">
        <v>28</v>
      </c>
      <c r="F239" s="10" t="s">
        <v>26</v>
      </c>
      <c r="G239" s="14">
        <v>2</v>
      </c>
    </row>
    <row r="240" spans="1:7" ht="15.6" x14ac:dyDescent="0.3">
      <c r="A240" s="13">
        <v>32.83</v>
      </c>
      <c r="B240" s="10">
        <v>1.17</v>
      </c>
      <c r="C240" s="10" t="s">
        <v>27</v>
      </c>
      <c r="D240" s="10" t="s">
        <v>29</v>
      </c>
      <c r="E240" s="10" t="s">
        <v>28</v>
      </c>
      <c r="F240" s="10" t="s">
        <v>26</v>
      </c>
      <c r="G240" s="14">
        <v>2</v>
      </c>
    </row>
    <row r="241" spans="1:7" ht="15.6" x14ac:dyDescent="0.3">
      <c r="A241" s="13">
        <v>35.83</v>
      </c>
      <c r="B241" s="10">
        <v>4.67</v>
      </c>
      <c r="C241" s="10" t="s">
        <v>23</v>
      </c>
      <c r="D241" s="10" t="s">
        <v>24</v>
      </c>
      <c r="E241" s="10" t="s">
        <v>28</v>
      </c>
      <c r="F241" s="10" t="s">
        <v>26</v>
      </c>
      <c r="G241" s="14">
        <v>3</v>
      </c>
    </row>
    <row r="242" spans="1:7" ht="15.6" x14ac:dyDescent="0.3">
      <c r="A242" s="13">
        <v>29.03</v>
      </c>
      <c r="B242" s="10">
        <v>5.92</v>
      </c>
      <c r="C242" s="10" t="s">
        <v>27</v>
      </c>
      <c r="D242" s="10" t="s">
        <v>24</v>
      </c>
      <c r="E242" s="10" t="s">
        <v>28</v>
      </c>
      <c r="F242" s="10" t="s">
        <v>26</v>
      </c>
      <c r="G242" s="14">
        <v>3</v>
      </c>
    </row>
    <row r="243" spans="1:7" ht="15.6" x14ac:dyDescent="0.3">
      <c r="A243" s="13">
        <v>27.18</v>
      </c>
      <c r="B243" s="10">
        <v>2</v>
      </c>
      <c r="C243" s="10" t="s">
        <v>23</v>
      </c>
      <c r="D243" s="10" t="s">
        <v>29</v>
      </c>
      <c r="E243" s="10" t="s">
        <v>28</v>
      </c>
      <c r="F243" s="10" t="s">
        <v>26</v>
      </c>
      <c r="G243" s="14">
        <v>2</v>
      </c>
    </row>
    <row r="244" spans="1:7" ht="15.6" x14ac:dyDescent="0.3">
      <c r="A244" s="13">
        <v>22.67</v>
      </c>
      <c r="B244" s="10">
        <v>2</v>
      </c>
      <c r="C244" s="10" t="s">
        <v>27</v>
      </c>
      <c r="D244" s="10" t="s">
        <v>29</v>
      </c>
      <c r="E244" s="10" t="s">
        <v>28</v>
      </c>
      <c r="F244" s="10" t="s">
        <v>26</v>
      </c>
      <c r="G244" s="14">
        <v>2</v>
      </c>
    </row>
    <row r="245" spans="1:7" ht="15.6" x14ac:dyDescent="0.3">
      <c r="A245" s="13">
        <v>17.82</v>
      </c>
      <c r="B245" s="10">
        <v>1.75</v>
      </c>
      <c r="C245" s="10" t="s">
        <v>27</v>
      </c>
      <c r="D245" s="10" t="s">
        <v>24</v>
      </c>
      <c r="E245" s="10" t="s">
        <v>28</v>
      </c>
      <c r="F245" s="10" t="s">
        <v>26</v>
      </c>
      <c r="G245" s="14">
        <v>2</v>
      </c>
    </row>
    <row r="246" spans="1:7" ht="16.2" thickBot="1" x14ac:dyDescent="0.35">
      <c r="A246" s="15">
        <v>18.78</v>
      </c>
      <c r="B246" s="16">
        <v>3</v>
      </c>
      <c r="C246" s="16" t="s">
        <v>23</v>
      </c>
      <c r="D246" s="16" t="s">
        <v>24</v>
      </c>
      <c r="E246" s="16" t="s">
        <v>30</v>
      </c>
      <c r="F246" s="16" t="s">
        <v>26</v>
      </c>
      <c r="G246" s="17">
        <v>2</v>
      </c>
    </row>
  </sheetData>
  <autoFilter ref="A2:G2" xr:uid="{9598D80B-1315-419B-B571-1D57A197154C}">
    <sortState xmlns:xlrd2="http://schemas.microsoft.com/office/spreadsheetml/2017/richdata2" ref="A3:G246">
      <sortCondition descending="1" ref="E2"/>
    </sortState>
  </autoFilter>
  <mergeCells count="3">
    <mergeCell ref="E1:H1"/>
    <mergeCell ref="I36:M36"/>
    <mergeCell ref="I37:M3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גיא ברגר</dc:creator>
  <cp:lastModifiedBy>גיא ברגר</cp:lastModifiedBy>
  <dcterms:created xsi:type="dcterms:W3CDTF">2023-06-28T12:36:32Z</dcterms:created>
  <dcterms:modified xsi:type="dcterms:W3CDTF">2023-07-03T10:46:51Z</dcterms:modified>
</cp:coreProperties>
</file>